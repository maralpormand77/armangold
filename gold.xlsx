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5"/>
  <workbookPr/>
  <mc:AlternateContent xmlns:mc="http://schemas.openxmlformats.org/markup-compatibility/2006">
    <mc:Choice Requires="x15">
      <x15ac:absPath xmlns:x15ac="http://schemas.microsoft.com/office/spreadsheetml/2010/11/ac" url="C:\Users\Hamahang\Desktop\روند رشد طلا\"/>
    </mc:Choice>
  </mc:AlternateContent>
  <xr:revisionPtr revIDLastSave="0" documentId="13_ncr:1_{A0D4DA4A-774E-4689-AE84-3C92E12FC69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جدول اصلی" sheetId="1" r:id="rId1"/>
    <sheet name="نسبت خقوق پایه به قیمت طلا" sheetId="4" r:id="rId2"/>
    <sheet name="Sheet1" sheetId="5" r:id="rId3"/>
    <sheet name="نمودار رشد" sheetId="2" r:id="rId4"/>
    <sheet name="میانگین طلا در ماه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I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C1" i="5"/>
  <c r="N6" i="1"/>
  <c r="N5" i="1" s="1"/>
  <c r="B12" i="1"/>
  <c r="B8" i="1"/>
  <c r="B9" i="1"/>
  <c r="B10" i="1"/>
  <c r="B11" i="1"/>
  <c r="B13" i="1"/>
  <c r="B14" i="1"/>
  <c r="B15" i="1"/>
  <c r="B16" i="1"/>
  <c r="B17" i="1"/>
  <c r="B18" i="1"/>
  <c r="D6" i="1"/>
  <c r="D5" i="1" s="1"/>
  <c r="E6" i="1"/>
  <c r="E5" i="1" s="1"/>
  <c r="F6" i="1"/>
  <c r="F5" i="1" s="1"/>
  <c r="G6" i="1"/>
  <c r="G5" i="1" s="1"/>
  <c r="H6" i="1"/>
  <c r="I6" i="1"/>
  <c r="I5" i="1" s="1"/>
  <c r="J6" i="1"/>
  <c r="J5" i="1" s="1"/>
  <c r="K6" i="1"/>
  <c r="K5" i="1" s="1"/>
  <c r="L6" i="1"/>
  <c r="L5" i="1" s="1"/>
  <c r="M6" i="1"/>
  <c r="M5" i="1" s="1"/>
  <c r="H5" i="1"/>
  <c r="B7" i="1"/>
</calcChain>
</file>

<file path=xl/sharedStrings.xml><?xml version="1.0" encoding="utf-8"?>
<sst xmlns="http://schemas.openxmlformats.org/spreadsheetml/2006/main" count="180" uniqueCount="167">
  <si>
    <t>قیمت طلا 18 عیار به تومن 15 ام هر ماه</t>
  </si>
  <si>
    <t>min</t>
  </si>
  <si>
    <t>max</t>
  </si>
  <si>
    <t>سال</t>
  </si>
  <si>
    <t>ماه</t>
  </si>
  <si>
    <t>حقوق اداره کار</t>
  </si>
  <si>
    <t>نسبت حقوق ماهانه به میانگین طلا</t>
  </si>
  <si>
    <t>میانگین ماه</t>
  </si>
  <si>
    <t>میانگین سال</t>
  </si>
  <si>
    <t>فروردین 1</t>
  </si>
  <si>
    <t>اردیبهشت 2</t>
  </si>
  <si>
    <t>خرداد 3</t>
  </si>
  <si>
    <t>تیر 4</t>
  </si>
  <si>
    <t>مرداد 5</t>
  </si>
  <si>
    <t>شهریور 6</t>
  </si>
  <si>
    <t>مهر 7</t>
  </si>
  <si>
    <t>ابان 8</t>
  </si>
  <si>
    <t>اذر 9</t>
  </si>
  <si>
    <t>دی 10</t>
  </si>
  <si>
    <t>بهمن 11</t>
  </si>
  <si>
    <t>اسفند 12</t>
  </si>
  <si>
    <t>فروردین 1395</t>
  </si>
  <si>
    <t>اردیبهشت 1395</t>
  </si>
  <si>
    <t>خرداد 1395</t>
  </si>
  <si>
    <t>تیر 1395</t>
  </si>
  <si>
    <t>مرداد 1395</t>
  </si>
  <si>
    <t>شهریور 1395</t>
  </si>
  <si>
    <t>مهر 1395</t>
  </si>
  <si>
    <t>ابان 1395</t>
  </si>
  <si>
    <t>اذر 1395</t>
  </si>
  <si>
    <t>دی 1395</t>
  </si>
  <si>
    <t>بهمن 1395</t>
  </si>
  <si>
    <t>اسفند 1395</t>
  </si>
  <si>
    <t>فروردین 1396</t>
  </si>
  <si>
    <t>اردیبهشت 1396</t>
  </si>
  <si>
    <t>خرداد 1396</t>
  </si>
  <si>
    <t>تیر 1396</t>
  </si>
  <si>
    <t>مرداد 1396</t>
  </si>
  <si>
    <t>شهریور 1396</t>
  </si>
  <si>
    <t>مهر 1396</t>
  </si>
  <si>
    <t>ابان 1396</t>
  </si>
  <si>
    <t>اذر 1396</t>
  </si>
  <si>
    <t>دی 1396</t>
  </si>
  <si>
    <t>بهمن 1396</t>
  </si>
  <si>
    <t>اسفند 1396</t>
  </si>
  <si>
    <t>فروردین 1397</t>
  </si>
  <si>
    <t>اردیبهشت 1397</t>
  </si>
  <si>
    <t>خرداد 1397</t>
  </si>
  <si>
    <t>تیر 1397</t>
  </si>
  <si>
    <t>مرداد 1397</t>
  </si>
  <si>
    <t>شهریور 1397</t>
  </si>
  <si>
    <t>مهر 1397</t>
  </si>
  <si>
    <t>ابان 1397</t>
  </si>
  <si>
    <t>اذر 1397</t>
  </si>
  <si>
    <t>دی 1397</t>
  </si>
  <si>
    <t>بهمن 1397</t>
  </si>
  <si>
    <t>اسفند 1397</t>
  </si>
  <si>
    <t>فروردین 1398</t>
  </si>
  <si>
    <t>اردیبهشت 1398</t>
  </si>
  <si>
    <t>خرداد 1398</t>
  </si>
  <si>
    <t>تیر 1398</t>
  </si>
  <si>
    <t>مرداد 1398</t>
  </si>
  <si>
    <t>شهریور 1398</t>
  </si>
  <si>
    <t>مهر 1398</t>
  </si>
  <si>
    <t>ابان 1398</t>
  </si>
  <si>
    <t>اذر 1398</t>
  </si>
  <si>
    <t>دی 1398</t>
  </si>
  <si>
    <t>بهمن 1398</t>
  </si>
  <si>
    <t>اسفند 1398</t>
  </si>
  <si>
    <t>فروردین 1399</t>
  </si>
  <si>
    <t>اردیبهشت 1399</t>
  </si>
  <si>
    <t>خرداد 1399</t>
  </si>
  <si>
    <t>تیر 1399</t>
  </si>
  <si>
    <t>مرداد 1399</t>
  </si>
  <si>
    <t>شهریور 1399</t>
  </si>
  <si>
    <t>مهر 1399</t>
  </si>
  <si>
    <t>ابان 1399</t>
  </si>
  <si>
    <t>اذر 1399</t>
  </si>
  <si>
    <t>دی 1399</t>
  </si>
  <si>
    <t>بهمن 1399</t>
  </si>
  <si>
    <t>اسفند 1399</t>
  </si>
  <si>
    <t>فروردین 1400</t>
  </si>
  <si>
    <t>اردیبهشت 1400</t>
  </si>
  <si>
    <t>خرداد 1400</t>
  </si>
  <si>
    <t>تیر 1400</t>
  </si>
  <si>
    <t>مرداد 1400</t>
  </si>
  <si>
    <t>شهریور 1400</t>
  </si>
  <si>
    <t>مهر 1400</t>
  </si>
  <si>
    <t>ابان 1400</t>
  </si>
  <si>
    <t>اذر 1400</t>
  </si>
  <si>
    <t>دی 1400</t>
  </si>
  <si>
    <t>بهمن 1400</t>
  </si>
  <si>
    <t>اسفند 1400</t>
  </si>
  <si>
    <t>فروردین 1401</t>
  </si>
  <si>
    <t>اردیبهشت 1401</t>
  </si>
  <si>
    <t>خرداد 1401</t>
  </si>
  <si>
    <t>تیر 1401</t>
  </si>
  <si>
    <t>مرداد 1401</t>
  </si>
  <si>
    <t>شهریور 1401</t>
  </si>
  <si>
    <t>مهر 1401</t>
  </si>
  <si>
    <t>ابان 1401</t>
  </si>
  <si>
    <t>اذر 1401</t>
  </si>
  <si>
    <t>دی 1401</t>
  </si>
  <si>
    <t>بهمن 1401</t>
  </si>
  <si>
    <t>اسفند 1401</t>
  </si>
  <si>
    <t>فروردین 1402</t>
  </si>
  <si>
    <t>اردیبهشت 1402</t>
  </si>
  <si>
    <t>خرداد 1402</t>
  </si>
  <si>
    <t>تیر 1402</t>
  </si>
  <si>
    <t>مرداد 1402</t>
  </si>
  <si>
    <t>شهریور 1402</t>
  </si>
  <si>
    <t>مهر 1402</t>
  </si>
  <si>
    <t>ابان 1402</t>
  </si>
  <si>
    <t>اذر 1402</t>
  </si>
  <si>
    <t>دی 1402</t>
  </si>
  <si>
    <t>بهمن 1402</t>
  </si>
  <si>
    <t>اسفند 1402</t>
  </si>
  <si>
    <t>فروردین 1403</t>
  </si>
  <si>
    <t>اردیبهشت 1403</t>
  </si>
  <si>
    <t>خرداد 1403</t>
  </si>
  <si>
    <t>تیر 1403</t>
  </si>
  <si>
    <t>مرداد 1403</t>
  </si>
  <si>
    <t>شهریور 1403</t>
  </si>
  <si>
    <t>مهر 1403</t>
  </si>
  <si>
    <t>ابان 1403</t>
  </si>
  <si>
    <t>اذر 1403</t>
  </si>
  <si>
    <t>دی 1403</t>
  </si>
  <si>
    <t>بهمن 1403</t>
  </si>
  <si>
    <t>اسفند 1403</t>
  </si>
  <si>
    <t>فروردین 1404</t>
  </si>
  <si>
    <t>اردیبهشت 1404</t>
  </si>
  <si>
    <t>خرداد 1404</t>
  </si>
  <si>
    <t>تیر 1404</t>
  </si>
  <si>
    <t>مرداد 1404</t>
  </si>
  <si>
    <t>شهریور 1404</t>
  </si>
  <si>
    <t>مهر 1404</t>
  </si>
  <si>
    <t>ابان 1404</t>
  </si>
  <si>
    <t>اذر 1404</t>
  </si>
  <si>
    <t>دی 1404</t>
  </si>
  <si>
    <t>بهمن 1404</t>
  </si>
  <si>
    <t>اسفند 1404</t>
  </si>
  <si>
    <t>فروردین 1405</t>
  </si>
  <si>
    <t>اردیبهشت 1405</t>
  </si>
  <si>
    <t>خرداد 1405</t>
  </si>
  <si>
    <t>تیر 1405</t>
  </si>
  <si>
    <t>مرداد 1405</t>
  </si>
  <si>
    <t>شهریور 1405</t>
  </si>
  <si>
    <t>مهر 1405</t>
  </si>
  <si>
    <t>ابان 1405</t>
  </si>
  <si>
    <t>اذر 1405</t>
  </si>
  <si>
    <t>دی 1405</t>
  </si>
  <si>
    <t>بهمن 1405</t>
  </si>
  <si>
    <t>اسفند 1405</t>
  </si>
  <si>
    <t>میانگین طلا در ماه  طی سال های مختلف</t>
  </si>
  <si>
    <t>نسبت</t>
  </si>
  <si>
    <t>سال 1395</t>
  </si>
  <si>
    <t>سال 1396</t>
  </si>
  <si>
    <t>سال 1397</t>
  </si>
  <si>
    <t>سال 1398</t>
  </si>
  <si>
    <t>سال 1399</t>
  </si>
  <si>
    <t>سال 1400</t>
  </si>
  <si>
    <t>سال 1401</t>
  </si>
  <si>
    <t>سال 1402</t>
  </si>
  <si>
    <t>سال 1403</t>
  </si>
  <si>
    <t>سال 1404</t>
  </si>
  <si>
    <t>سال 1405</t>
  </si>
  <si>
    <t>نسبت حقوق پایه به قیمت طلا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</si>
</sst>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6" borderId="7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2" borderId="7" xfId="1" applyNumberFormat="1" applyFont="1" applyFill="1" applyBorder="1" applyAlignment="1">
      <alignment horizontal="center" vertical="center"/>
    </xf>
    <xf numFmtId="164" fontId="0" fillId="3" borderId="7" xfId="1" applyNumberFormat="1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6" borderId="6" xfId="1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/>
    <xf numFmtId="167" fontId="0" fillId="0" borderId="1" xfId="1" applyNumberFormat="1" applyFont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7" fontId="0" fillId="0" borderId="6" xfId="1" applyNumberFormat="1" applyFont="1" applyBorder="1" applyAlignment="1">
      <alignment horizontal="center" vertical="center"/>
    </xf>
    <xf numFmtId="167" fontId="0" fillId="6" borderId="7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/>
    </xf>
    <xf numFmtId="167" fontId="0" fillId="0" borderId="0" xfId="0" applyNumberFormat="1"/>
    <xf numFmtId="43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'نسبت خقوق پایه به قیمت طلا'!$B$2</c:f>
              <c:strCache>
                <c:ptCount val="1"/>
                <c:pt idx="0">
                  <c:v>نسبت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'نسبت خقوق پایه به قیمت طلا'!$A$3:$A$13</c:f>
              <c:strCache>
                <c:ptCount val="11"/>
                <c:pt idx="0">
                  <c:v>سال 1395</c:v>
                </c:pt>
                <c:pt idx="1">
                  <c:v>سال 1396</c:v>
                </c:pt>
                <c:pt idx="2">
                  <c:v>سال 1397</c:v>
                </c:pt>
                <c:pt idx="3">
                  <c:v>سال 1398</c:v>
                </c:pt>
                <c:pt idx="4">
                  <c:v>سال 1399</c:v>
                </c:pt>
                <c:pt idx="5">
                  <c:v>سال 1400</c:v>
                </c:pt>
                <c:pt idx="6">
                  <c:v>سال 1401</c:v>
                </c:pt>
                <c:pt idx="7">
                  <c:v>سال 1402</c:v>
                </c:pt>
                <c:pt idx="8">
                  <c:v>سال 1403</c:v>
                </c:pt>
                <c:pt idx="9">
                  <c:v>سال 1404</c:v>
                </c:pt>
                <c:pt idx="10">
                  <c:v>سال 1405</c:v>
                </c:pt>
              </c:strCache>
            </c:strRef>
          </c:cat>
          <c:val>
            <c:numRef>
              <c:f>'نسبت خقوق پایه به قیمت طلا'!$B$3:$B$13</c:f>
              <c:numCache>
                <c:formatCode>0.00</c:formatCode>
                <c:ptCount val="11"/>
                <c:pt idx="0">
                  <c:v>8.7668465283242654</c:v>
                </c:pt>
                <c:pt idx="1">
                  <c:v>8.5647614257948685</c:v>
                </c:pt>
                <c:pt idx="2">
                  <c:v>3.9897172236503855</c:v>
                </c:pt>
                <c:pt idx="3">
                  <c:v>3.9786332657948056</c:v>
                </c:pt>
                <c:pt idx="4">
                  <c:v>2.3752577319587629</c:v>
                </c:pt>
                <c:pt idx="5">
                  <c:v>3.2449024336768253</c:v>
                </c:pt>
                <c:pt idx="6">
                  <c:v>3.5801811401172081</c:v>
                </c:pt>
                <c:pt idx="7">
                  <c:v>2.7374631268436578</c:v>
                </c:pt>
                <c:pt idx="8">
                  <c:v>2.2381216501880754</c:v>
                </c:pt>
                <c:pt idx="9">
                  <c:v>1.210743329140574</c:v>
                </c:pt>
                <c:pt idx="10">
                  <c:v>1.1651410968214599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C-4816-A1C8-D1EE9C591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238111"/>
        <c:axId val="2044237151"/>
      </c:lineChart>
      <c:catAx>
        <c:axId val="20442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37151"/>
        <c:crosses val="autoZero"/>
        <c:auto val="1"/>
        <c:lblAlgn val="ctr"/>
        <c:lblOffset val="100"/>
        <c:noMultiLvlLbl val="0"/>
      </c:catAx>
      <c:valAx>
        <c:axId val="20442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3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28980752405949"/>
          <c:y val="2.5428331875182269E-2"/>
          <c:w val="0.80308530183727034"/>
          <c:h val="0.53586468358121897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'نمودار رشد'!$A$1:$A$132</c:f>
              <c:strCache>
                <c:ptCount val="132"/>
                <c:pt idx="0">
                  <c:v>فروردین 1395</c:v>
                </c:pt>
                <c:pt idx="1">
                  <c:v>اردیبهشت 1395</c:v>
                </c:pt>
                <c:pt idx="2">
                  <c:v>خرداد 1395</c:v>
                </c:pt>
                <c:pt idx="3">
                  <c:v>تیر 1395</c:v>
                </c:pt>
                <c:pt idx="4">
                  <c:v>مرداد 1395</c:v>
                </c:pt>
                <c:pt idx="5">
                  <c:v>شهریور 1395</c:v>
                </c:pt>
                <c:pt idx="6">
                  <c:v>مهر 1395</c:v>
                </c:pt>
                <c:pt idx="7">
                  <c:v>ابان 1395</c:v>
                </c:pt>
                <c:pt idx="8">
                  <c:v>اذر 1395</c:v>
                </c:pt>
                <c:pt idx="9">
                  <c:v>دی 1395</c:v>
                </c:pt>
                <c:pt idx="10">
                  <c:v>بهمن 1395</c:v>
                </c:pt>
                <c:pt idx="11">
                  <c:v>اسفند 1395</c:v>
                </c:pt>
                <c:pt idx="12">
                  <c:v>فروردین 1396</c:v>
                </c:pt>
                <c:pt idx="13">
                  <c:v>اردیبهشت 1396</c:v>
                </c:pt>
                <c:pt idx="14">
                  <c:v>خرداد 1396</c:v>
                </c:pt>
                <c:pt idx="15">
                  <c:v>تیر 1396</c:v>
                </c:pt>
                <c:pt idx="16">
                  <c:v>مرداد 1396</c:v>
                </c:pt>
                <c:pt idx="17">
                  <c:v>شهریور 1396</c:v>
                </c:pt>
                <c:pt idx="18">
                  <c:v>مهر 1396</c:v>
                </c:pt>
                <c:pt idx="19">
                  <c:v>ابان 1396</c:v>
                </c:pt>
                <c:pt idx="20">
                  <c:v>اذر 1396</c:v>
                </c:pt>
                <c:pt idx="21">
                  <c:v>دی 1396</c:v>
                </c:pt>
                <c:pt idx="22">
                  <c:v>بهمن 1396</c:v>
                </c:pt>
                <c:pt idx="23">
                  <c:v>اسفند 1396</c:v>
                </c:pt>
                <c:pt idx="24">
                  <c:v>فروردین 1397</c:v>
                </c:pt>
                <c:pt idx="25">
                  <c:v>اردیبهشت 1397</c:v>
                </c:pt>
                <c:pt idx="26">
                  <c:v>خرداد 1397</c:v>
                </c:pt>
                <c:pt idx="27">
                  <c:v>تیر 1397</c:v>
                </c:pt>
                <c:pt idx="28">
                  <c:v>مرداد 1397</c:v>
                </c:pt>
                <c:pt idx="29">
                  <c:v>شهریور 1397</c:v>
                </c:pt>
                <c:pt idx="30">
                  <c:v>مهر 1397</c:v>
                </c:pt>
                <c:pt idx="31">
                  <c:v>ابان 1397</c:v>
                </c:pt>
                <c:pt idx="32">
                  <c:v>اذر 1397</c:v>
                </c:pt>
                <c:pt idx="33">
                  <c:v>دی 1397</c:v>
                </c:pt>
                <c:pt idx="34">
                  <c:v>بهمن 1397</c:v>
                </c:pt>
                <c:pt idx="35">
                  <c:v>اسفند 1397</c:v>
                </c:pt>
                <c:pt idx="36">
                  <c:v>فروردین 1398</c:v>
                </c:pt>
                <c:pt idx="37">
                  <c:v>اردیبهشت 1398</c:v>
                </c:pt>
                <c:pt idx="38">
                  <c:v>خرداد 1398</c:v>
                </c:pt>
                <c:pt idx="39">
                  <c:v>تیر 1398</c:v>
                </c:pt>
                <c:pt idx="40">
                  <c:v>مرداد 1398</c:v>
                </c:pt>
                <c:pt idx="41">
                  <c:v>شهریور 1398</c:v>
                </c:pt>
                <c:pt idx="42">
                  <c:v>مهر 1398</c:v>
                </c:pt>
                <c:pt idx="43">
                  <c:v>ابان 1398</c:v>
                </c:pt>
                <c:pt idx="44">
                  <c:v>اذر 1398</c:v>
                </c:pt>
                <c:pt idx="45">
                  <c:v>دی 1398</c:v>
                </c:pt>
                <c:pt idx="46">
                  <c:v>بهمن 1398</c:v>
                </c:pt>
                <c:pt idx="47">
                  <c:v>اسفند 1398</c:v>
                </c:pt>
                <c:pt idx="48">
                  <c:v>فروردین 1399</c:v>
                </c:pt>
                <c:pt idx="49">
                  <c:v>اردیبهشت 1399</c:v>
                </c:pt>
                <c:pt idx="50">
                  <c:v>خرداد 1399</c:v>
                </c:pt>
                <c:pt idx="51">
                  <c:v>تیر 1399</c:v>
                </c:pt>
                <c:pt idx="52">
                  <c:v>مرداد 1399</c:v>
                </c:pt>
                <c:pt idx="53">
                  <c:v>شهریور 1399</c:v>
                </c:pt>
                <c:pt idx="54">
                  <c:v>مهر 1399</c:v>
                </c:pt>
                <c:pt idx="55">
                  <c:v>ابان 1399</c:v>
                </c:pt>
                <c:pt idx="56">
                  <c:v>اذر 1399</c:v>
                </c:pt>
                <c:pt idx="57">
                  <c:v>دی 1399</c:v>
                </c:pt>
                <c:pt idx="58">
                  <c:v>بهمن 1399</c:v>
                </c:pt>
                <c:pt idx="59">
                  <c:v>اسفند 1399</c:v>
                </c:pt>
                <c:pt idx="60">
                  <c:v>فروردین 1400</c:v>
                </c:pt>
                <c:pt idx="61">
                  <c:v>اردیبهشت 1400</c:v>
                </c:pt>
                <c:pt idx="62">
                  <c:v>خرداد 1400</c:v>
                </c:pt>
                <c:pt idx="63">
                  <c:v>تیر 1400</c:v>
                </c:pt>
                <c:pt idx="64">
                  <c:v>مرداد 1400</c:v>
                </c:pt>
                <c:pt idx="65">
                  <c:v>شهریور 1400</c:v>
                </c:pt>
                <c:pt idx="66">
                  <c:v>مهر 1400</c:v>
                </c:pt>
                <c:pt idx="67">
                  <c:v>ابان 1400</c:v>
                </c:pt>
                <c:pt idx="68">
                  <c:v>اذر 1400</c:v>
                </c:pt>
                <c:pt idx="69">
                  <c:v>دی 1400</c:v>
                </c:pt>
                <c:pt idx="70">
                  <c:v>بهمن 1400</c:v>
                </c:pt>
                <c:pt idx="71">
                  <c:v>اسفند 1400</c:v>
                </c:pt>
                <c:pt idx="72">
                  <c:v>فروردین 1401</c:v>
                </c:pt>
                <c:pt idx="73">
                  <c:v>اردیبهشت 1401</c:v>
                </c:pt>
                <c:pt idx="74">
                  <c:v>خرداد 1401</c:v>
                </c:pt>
                <c:pt idx="75">
                  <c:v>تیر 1401</c:v>
                </c:pt>
                <c:pt idx="76">
                  <c:v>مرداد 1401</c:v>
                </c:pt>
                <c:pt idx="77">
                  <c:v>شهریور 1401</c:v>
                </c:pt>
                <c:pt idx="78">
                  <c:v>مهر 1401</c:v>
                </c:pt>
                <c:pt idx="79">
                  <c:v>ابان 1401</c:v>
                </c:pt>
                <c:pt idx="80">
                  <c:v>اذر 1401</c:v>
                </c:pt>
                <c:pt idx="81">
                  <c:v>دی 1401</c:v>
                </c:pt>
                <c:pt idx="82">
                  <c:v>بهمن 1401</c:v>
                </c:pt>
                <c:pt idx="83">
                  <c:v>اسفند 1401</c:v>
                </c:pt>
                <c:pt idx="84">
                  <c:v>فروردین 1402</c:v>
                </c:pt>
                <c:pt idx="85">
                  <c:v>اردیبهشت 1402</c:v>
                </c:pt>
                <c:pt idx="86">
                  <c:v>خرداد 1402</c:v>
                </c:pt>
                <c:pt idx="87">
                  <c:v>تیر 1402</c:v>
                </c:pt>
                <c:pt idx="88">
                  <c:v>مرداد 1402</c:v>
                </c:pt>
                <c:pt idx="89">
                  <c:v>شهریور 1402</c:v>
                </c:pt>
                <c:pt idx="90">
                  <c:v>مهر 1402</c:v>
                </c:pt>
                <c:pt idx="91">
                  <c:v>ابان 1402</c:v>
                </c:pt>
                <c:pt idx="92">
                  <c:v>اذر 1402</c:v>
                </c:pt>
                <c:pt idx="93">
                  <c:v>دی 1402</c:v>
                </c:pt>
                <c:pt idx="94">
                  <c:v>بهمن 1402</c:v>
                </c:pt>
                <c:pt idx="95">
                  <c:v>اسفند 1402</c:v>
                </c:pt>
                <c:pt idx="96">
                  <c:v>فروردین 1403</c:v>
                </c:pt>
                <c:pt idx="97">
                  <c:v>اردیبهشت 1403</c:v>
                </c:pt>
                <c:pt idx="98">
                  <c:v>خرداد 1403</c:v>
                </c:pt>
                <c:pt idx="99">
                  <c:v>تیر 1403</c:v>
                </c:pt>
                <c:pt idx="100">
                  <c:v>مرداد 1403</c:v>
                </c:pt>
                <c:pt idx="101">
                  <c:v>شهریور 1403</c:v>
                </c:pt>
                <c:pt idx="102">
                  <c:v>مهر 1403</c:v>
                </c:pt>
                <c:pt idx="103">
                  <c:v>ابان 1403</c:v>
                </c:pt>
                <c:pt idx="104">
                  <c:v>اذر 1403</c:v>
                </c:pt>
                <c:pt idx="105">
                  <c:v>دی 1403</c:v>
                </c:pt>
                <c:pt idx="106">
                  <c:v>بهمن 1403</c:v>
                </c:pt>
                <c:pt idx="107">
                  <c:v>اسفند 1403</c:v>
                </c:pt>
                <c:pt idx="108">
                  <c:v>فروردین 1404</c:v>
                </c:pt>
                <c:pt idx="109">
                  <c:v>اردیبهشت 1404</c:v>
                </c:pt>
                <c:pt idx="110">
                  <c:v>خرداد 1404</c:v>
                </c:pt>
                <c:pt idx="111">
                  <c:v>تیر 1404</c:v>
                </c:pt>
                <c:pt idx="112">
                  <c:v>مرداد 1404</c:v>
                </c:pt>
                <c:pt idx="113">
                  <c:v>شهریور 1404</c:v>
                </c:pt>
                <c:pt idx="114">
                  <c:v>مهر 1404</c:v>
                </c:pt>
                <c:pt idx="115">
                  <c:v>ابان 1404</c:v>
                </c:pt>
                <c:pt idx="116">
                  <c:v>اذر 1404</c:v>
                </c:pt>
                <c:pt idx="117">
                  <c:v>دی 1404</c:v>
                </c:pt>
                <c:pt idx="118">
                  <c:v>بهمن 1404</c:v>
                </c:pt>
                <c:pt idx="119">
                  <c:v>اسفند 1404</c:v>
                </c:pt>
                <c:pt idx="120">
                  <c:v>فروردین 1405</c:v>
                </c:pt>
                <c:pt idx="121">
                  <c:v>اردیبهشت 1405</c:v>
                </c:pt>
                <c:pt idx="122">
                  <c:v>خرداد 1405</c:v>
                </c:pt>
                <c:pt idx="123">
                  <c:v>تیر 1405</c:v>
                </c:pt>
                <c:pt idx="124">
                  <c:v>مرداد 1405</c:v>
                </c:pt>
                <c:pt idx="125">
                  <c:v>شهریور 1405</c:v>
                </c:pt>
                <c:pt idx="126">
                  <c:v>مهر 1405</c:v>
                </c:pt>
                <c:pt idx="127">
                  <c:v>ابان 1405</c:v>
                </c:pt>
                <c:pt idx="128">
                  <c:v>اذر 1405</c:v>
                </c:pt>
                <c:pt idx="129">
                  <c:v>دی 1405</c:v>
                </c:pt>
                <c:pt idx="130">
                  <c:v>بهمن 1405</c:v>
                </c:pt>
                <c:pt idx="131">
                  <c:v>اسفند 1405</c:v>
                </c:pt>
              </c:strCache>
            </c:strRef>
          </c:cat>
          <c:val>
            <c:numRef>
              <c:f>'نمودار رشد'!$B$1:$B$132</c:f>
              <c:numCache>
                <c:formatCode>_(* #,##0_);_(* \(#,##0\);_(* "-"??_);_(@_)</c:formatCode>
                <c:ptCount val="132"/>
                <c:pt idx="0">
                  <c:v>103500</c:v>
                </c:pt>
                <c:pt idx="1">
                  <c:v>105750</c:v>
                </c:pt>
                <c:pt idx="2">
                  <c:v>101617</c:v>
                </c:pt>
                <c:pt idx="3">
                  <c:v>111700</c:v>
                </c:pt>
                <c:pt idx="4">
                  <c:v>113000</c:v>
                </c:pt>
                <c:pt idx="5">
                  <c:v>114000</c:v>
                </c:pt>
                <c:pt idx="6">
                  <c:v>110000</c:v>
                </c:pt>
                <c:pt idx="7">
                  <c:v>113400</c:v>
                </c:pt>
                <c:pt idx="8">
                  <c:v>113500</c:v>
                </c:pt>
                <c:pt idx="9">
                  <c:v>113000</c:v>
                </c:pt>
                <c:pt idx="10">
                  <c:v>115000</c:v>
                </c:pt>
                <c:pt idx="11">
                  <c:v>116000</c:v>
                </c:pt>
                <c:pt idx="12">
                  <c:v>116287</c:v>
                </c:pt>
                <c:pt idx="13">
                  <c:v>113000</c:v>
                </c:pt>
                <c:pt idx="14">
                  <c:v>114730</c:v>
                </c:pt>
                <c:pt idx="15">
                  <c:v>115660</c:v>
                </c:pt>
                <c:pt idx="16">
                  <c:v>118000</c:v>
                </c:pt>
                <c:pt idx="17">
                  <c:v>125000</c:v>
                </c:pt>
                <c:pt idx="18">
                  <c:v>121500</c:v>
                </c:pt>
                <c:pt idx="19">
                  <c:v>124000</c:v>
                </c:pt>
                <c:pt idx="20">
                  <c:v>128000</c:v>
                </c:pt>
                <c:pt idx="21">
                  <c:v>140000</c:v>
                </c:pt>
                <c:pt idx="22">
                  <c:v>148000</c:v>
                </c:pt>
                <c:pt idx="23">
                  <c:v>149000</c:v>
                </c:pt>
                <c:pt idx="24">
                  <c:v>160500</c:v>
                </c:pt>
                <c:pt idx="25">
                  <c:v>190000</c:v>
                </c:pt>
                <c:pt idx="26">
                  <c:v>200250</c:v>
                </c:pt>
                <c:pt idx="27">
                  <c:v>235000</c:v>
                </c:pt>
                <c:pt idx="28">
                  <c:v>280000</c:v>
                </c:pt>
                <c:pt idx="29">
                  <c:v>357000</c:v>
                </c:pt>
                <c:pt idx="30">
                  <c:v>334000</c:v>
                </c:pt>
                <c:pt idx="31">
                  <c:v>432000</c:v>
                </c:pt>
                <c:pt idx="32">
                  <c:v>483000</c:v>
                </c:pt>
                <c:pt idx="33">
                  <c:v>332000</c:v>
                </c:pt>
                <c:pt idx="34">
                  <c:v>367000</c:v>
                </c:pt>
                <c:pt idx="35">
                  <c:v>422000</c:v>
                </c:pt>
                <c:pt idx="36">
                  <c:v>428000</c:v>
                </c:pt>
                <c:pt idx="37">
                  <c:v>462000</c:v>
                </c:pt>
                <c:pt idx="38">
                  <c:v>420000</c:v>
                </c:pt>
                <c:pt idx="39">
                  <c:v>436000</c:v>
                </c:pt>
                <c:pt idx="40">
                  <c:v>414000</c:v>
                </c:pt>
                <c:pt idx="41">
                  <c:v>416000</c:v>
                </c:pt>
                <c:pt idx="42">
                  <c:v>407000</c:v>
                </c:pt>
                <c:pt idx="43">
                  <c:v>408000</c:v>
                </c:pt>
                <c:pt idx="44">
                  <c:v>451000</c:v>
                </c:pt>
                <c:pt idx="45">
                  <c:v>491000</c:v>
                </c:pt>
                <c:pt idx="46">
                  <c:v>510000</c:v>
                </c:pt>
                <c:pt idx="47">
                  <c:v>586000</c:v>
                </c:pt>
                <c:pt idx="48">
                  <c:v>634000</c:v>
                </c:pt>
                <c:pt idx="49">
                  <c:v>640000</c:v>
                </c:pt>
                <c:pt idx="50">
                  <c:v>731000</c:v>
                </c:pt>
                <c:pt idx="51">
                  <c:v>930000</c:v>
                </c:pt>
                <c:pt idx="52">
                  <c:v>1110000</c:v>
                </c:pt>
                <c:pt idx="53">
                  <c:v>1100000</c:v>
                </c:pt>
                <c:pt idx="54">
                  <c:v>1360000</c:v>
                </c:pt>
                <c:pt idx="55">
                  <c:v>1188000</c:v>
                </c:pt>
                <c:pt idx="56">
                  <c:v>1130000</c:v>
                </c:pt>
                <c:pt idx="57">
                  <c:v>1160000</c:v>
                </c:pt>
                <c:pt idx="58">
                  <c:v>1091000</c:v>
                </c:pt>
                <c:pt idx="59">
                  <c:v>1051000</c:v>
                </c:pt>
                <c:pt idx="60">
                  <c:v>1052000</c:v>
                </c:pt>
                <c:pt idx="61">
                  <c:v>916000</c:v>
                </c:pt>
                <c:pt idx="62">
                  <c:v>1080000</c:v>
                </c:pt>
                <c:pt idx="63">
                  <c:v>1064000</c:v>
                </c:pt>
                <c:pt idx="64">
                  <c:v>1080000</c:v>
                </c:pt>
                <c:pt idx="65">
                  <c:v>1164000</c:v>
                </c:pt>
                <c:pt idx="66">
                  <c:v>1160000</c:v>
                </c:pt>
                <c:pt idx="67">
                  <c:v>1196000</c:v>
                </c:pt>
                <c:pt idx="68">
                  <c:v>1300000</c:v>
                </c:pt>
                <c:pt idx="69">
                  <c:v>1260000</c:v>
                </c:pt>
                <c:pt idx="70">
                  <c:v>1211000</c:v>
                </c:pt>
                <c:pt idx="71">
                  <c:v>1200000</c:v>
                </c:pt>
                <c:pt idx="72">
                  <c:v>1250000</c:v>
                </c:pt>
                <c:pt idx="73">
                  <c:v>1305000</c:v>
                </c:pt>
                <c:pt idx="74">
                  <c:v>1430000</c:v>
                </c:pt>
                <c:pt idx="75">
                  <c:v>1364000</c:v>
                </c:pt>
                <c:pt idx="76">
                  <c:v>1374000</c:v>
                </c:pt>
                <c:pt idx="77">
                  <c:v>1273000</c:v>
                </c:pt>
                <c:pt idx="78">
                  <c:v>1385000</c:v>
                </c:pt>
                <c:pt idx="79">
                  <c:v>1464000</c:v>
                </c:pt>
                <c:pt idx="80">
                  <c:v>1582000</c:v>
                </c:pt>
                <c:pt idx="81">
                  <c:v>1800000</c:v>
                </c:pt>
                <c:pt idx="82">
                  <c:v>2180000</c:v>
                </c:pt>
                <c:pt idx="83">
                  <c:v>2363000</c:v>
                </c:pt>
                <c:pt idx="84">
                  <c:v>2527000</c:v>
                </c:pt>
                <c:pt idx="85">
                  <c:v>2734000</c:v>
                </c:pt>
                <c:pt idx="86">
                  <c:v>2464000</c:v>
                </c:pt>
                <c:pt idx="87">
                  <c:v>2385000</c:v>
                </c:pt>
                <c:pt idx="88">
                  <c:v>2365000</c:v>
                </c:pt>
                <c:pt idx="89">
                  <c:v>2362000</c:v>
                </c:pt>
                <c:pt idx="90">
                  <c:v>2300000</c:v>
                </c:pt>
                <c:pt idx="91">
                  <c:v>2470000</c:v>
                </c:pt>
                <c:pt idx="92">
                  <c:v>2464000</c:v>
                </c:pt>
                <c:pt idx="93">
                  <c:v>2565000</c:v>
                </c:pt>
                <c:pt idx="94">
                  <c:v>2764000</c:v>
                </c:pt>
                <c:pt idx="95">
                  <c:v>3110000</c:v>
                </c:pt>
                <c:pt idx="96">
                  <c:v>3620000</c:v>
                </c:pt>
                <c:pt idx="97">
                  <c:v>3420000</c:v>
                </c:pt>
                <c:pt idx="98">
                  <c:v>3375000</c:v>
                </c:pt>
                <c:pt idx="99">
                  <c:v>3434800</c:v>
                </c:pt>
                <c:pt idx="100">
                  <c:v>3519700</c:v>
                </c:pt>
                <c:pt idx="101">
                  <c:v>3592133</c:v>
                </c:pt>
                <c:pt idx="102">
                  <c:v>4080000</c:v>
                </c:pt>
                <c:pt idx="103">
                  <c:v>4598000</c:v>
                </c:pt>
                <c:pt idx="104">
                  <c:v>4686600</c:v>
                </c:pt>
                <c:pt idx="105">
                  <c:v>5137900</c:v>
                </c:pt>
                <c:pt idx="106">
                  <c:v>5657600</c:v>
                </c:pt>
                <c:pt idx="107">
                  <c:v>6350000</c:v>
                </c:pt>
                <c:pt idx="108">
                  <c:v>8181700</c:v>
                </c:pt>
                <c:pt idx="109">
                  <c:v>6805000</c:v>
                </c:pt>
                <c:pt idx="110">
                  <c:v>6617300</c:v>
                </c:pt>
                <c:pt idx="111">
                  <c:v>7437100</c:v>
                </c:pt>
                <c:pt idx="112">
                  <c:v>7520000</c:v>
                </c:pt>
                <c:pt idx="113">
                  <c:v>8651000</c:v>
                </c:pt>
                <c:pt idx="114">
                  <c:v>10700000</c:v>
                </c:pt>
                <c:pt idx="115">
                  <c:v>10500000</c:v>
                </c:pt>
                <c:pt idx="116">
                  <c:v>12430000</c:v>
                </c:pt>
                <c:pt idx="117">
                  <c:v>15260000</c:v>
                </c:pt>
                <c:pt idx="118">
                  <c:v>19576000</c:v>
                </c:pt>
                <c:pt idx="119">
                  <c:v>20124000</c:v>
                </c:pt>
                <c:pt idx="120">
                  <c:v>17821000</c:v>
                </c:pt>
                <c:pt idx="121">
                  <c:v>19200000</c:v>
                </c:pt>
                <c:pt idx="122">
                  <c:v>17000000</c:v>
                </c:pt>
                <c:pt idx="123">
                  <c:v>17700000</c:v>
                </c:pt>
                <c:pt idx="124">
                  <c:v>18570000</c:v>
                </c:pt>
                <c:pt idx="125">
                  <c:v>23000000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5-46C6-878E-264A44D3F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70057439"/>
        <c:axId val="1070055999"/>
      </c:lineChart>
      <c:catAx>
        <c:axId val="107005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5999"/>
        <c:crosses val="autoZero"/>
        <c:auto val="1"/>
        <c:lblAlgn val="ctr"/>
        <c:lblOffset val="100"/>
        <c:noMultiLvlLbl val="0"/>
      </c:catAx>
      <c:valAx>
        <c:axId val="107005599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74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'میانگین طلا در ماه'!$A$2:$A$13</c:f>
              <c:strCache>
                <c:ptCount val="12"/>
                <c:pt idx="0">
                  <c:v>فروردین 1</c:v>
                </c:pt>
                <c:pt idx="1">
                  <c:v>اردیبهشت 2</c:v>
                </c:pt>
                <c:pt idx="2">
                  <c:v>خرداد 3</c:v>
                </c:pt>
                <c:pt idx="3">
                  <c:v>تیر 4</c:v>
                </c:pt>
                <c:pt idx="4">
                  <c:v>مرداد 5</c:v>
                </c:pt>
                <c:pt idx="5">
                  <c:v>شهریور 6</c:v>
                </c:pt>
                <c:pt idx="6">
                  <c:v>مهر 7</c:v>
                </c:pt>
                <c:pt idx="7">
                  <c:v>ابان 8</c:v>
                </c:pt>
                <c:pt idx="8">
                  <c:v>اذر 9</c:v>
                </c:pt>
                <c:pt idx="9">
                  <c:v>دی 10</c:v>
                </c:pt>
                <c:pt idx="10">
                  <c:v>بهمن 11</c:v>
                </c:pt>
                <c:pt idx="11">
                  <c:v>اسفند 12</c:v>
                </c:pt>
              </c:strCache>
            </c:strRef>
          </c:cat>
          <c:val>
            <c:numRef>
              <c:f>'میانگین طلا در ماه'!$B$2:$B$13</c:f>
              <c:numCache>
                <c:formatCode>_(* #,##0_);_(* \(#,##0\);_(* "-"??_);_(@_)</c:formatCode>
                <c:ptCount val="12"/>
                <c:pt idx="0">
                  <c:v>1807298.7</c:v>
                </c:pt>
                <c:pt idx="1">
                  <c:v>1669075</c:v>
                </c:pt>
                <c:pt idx="2">
                  <c:v>1653389.7</c:v>
                </c:pt>
                <c:pt idx="3">
                  <c:v>1751326</c:v>
                </c:pt>
                <c:pt idx="4">
                  <c:v>1789370</c:v>
                </c:pt>
                <c:pt idx="5">
                  <c:v>1915413.3</c:v>
                </c:pt>
                <c:pt idx="6">
                  <c:v>2195750</c:v>
                </c:pt>
                <c:pt idx="7">
                  <c:v>2249340</c:v>
                </c:pt>
                <c:pt idx="8">
                  <c:v>2476810</c:v>
                </c:pt>
                <c:pt idx="9">
                  <c:v>2825890</c:v>
                </c:pt>
                <c:pt idx="10">
                  <c:v>3361960</c:v>
                </c:pt>
                <c:pt idx="11">
                  <c:v>3547100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1-4863-96A4-0DBC35FB4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04756608"/>
        <c:axId val="604753728"/>
      </c:lineChart>
      <c:catAx>
        <c:axId val="60475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53728"/>
        <c:crosses val="autoZero"/>
        <c:auto val="1"/>
        <c:lblAlgn val="ctr"/>
        <c:lblOffset val="100"/>
        <c:noMultiLvlLbl val="0"/>
      </c:catAx>
      <c:valAx>
        <c:axId val="60475372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56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165100</xdr:rowOff>
    </xdr:from>
    <xdr:to>
      <xdr:col>10</xdr:col>
      <xdr:colOff>333375</xdr:colOff>
      <xdr:row>17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824DE6-5847-6FC2-435B-BDF4B144B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</xdr:row>
      <xdr:rowOff>69850</xdr:rowOff>
    </xdr:from>
    <xdr:to>
      <xdr:col>23</xdr:col>
      <xdr:colOff>227463</xdr:colOff>
      <xdr:row>35</xdr:row>
      <xdr:rowOff>66343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6DA371-B57D-3F96-09CB-38E697DD5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1</xdr:row>
      <xdr:rowOff>63500</xdr:rowOff>
    </xdr:from>
    <xdr:to>
      <xdr:col>9</xdr:col>
      <xdr:colOff>593725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48039-D2D7-58BB-0DE9-706F1702D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rightToLeft="1" zoomScale="107" zoomScaleNormal="130" workbookViewId="0">
      <selection activeCell="N7" sqref="N7:N8"/>
    </sheetView>
  </sheetViews>
  <sheetFormatPr defaultRowHeight="14.5" x14ac:dyDescent="0.35"/>
  <cols>
    <col min="1" max="1" width="8.90625" style="1" bestFit="1" customWidth="1"/>
    <col min="2" max="2" width="8.7265625" style="1"/>
    <col min="3" max="3" width="8.7265625" style="1" customWidth="1"/>
    <col min="4" max="4" width="11.54296875" style="1" bestFit="1" customWidth="1"/>
    <col min="5" max="5" width="13" style="1" bestFit="1" customWidth="1"/>
    <col min="6" max="10" width="10.36328125" style="1" bestFit="1" customWidth="1"/>
    <col min="11" max="11" width="12.453125" style="1" bestFit="1" customWidth="1"/>
    <col min="12" max="12" width="10.36328125" style="1" bestFit="1" customWidth="1"/>
    <col min="13" max="13" width="11.08984375" style="1" bestFit="1" customWidth="1"/>
    <col min="14" max="14" width="11.453125" style="1" bestFit="1" customWidth="1"/>
    <col min="15" max="16384" width="8.7265625" style="1"/>
  </cols>
  <sheetData>
    <row r="1" spans="1:14" x14ac:dyDescent="0.35">
      <c r="A1" s="31" t="s">
        <v>0</v>
      </c>
      <c r="B1" s="31"/>
      <c r="C1" s="31"/>
      <c r="D1" s="31"/>
      <c r="E1" s="2" t="s">
        <v>1</v>
      </c>
      <c r="F1" s="3" t="s">
        <v>2</v>
      </c>
    </row>
    <row r="2" spans="1:14" x14ac:dyDescent="0.35">
      <c r="A2" s="4"/>
      <c r="B2" s="5" t="s">
        <v>3</v>
      </c>
      <c r="C2" s="33" t="s">
        <v>7</v>
      </c>
      <c r="D2" s="32">
        <v>1395</v>
      </c>
      <c r="E2" s="32">
        <v>1396</v>
      </c>
      <c r="F2" s="32">
        <v>1397</v>
      </c>
      <c r="G2" s="32">
        <v>1398</v>
      </c>
      <c r="H2" s="32">
        <v>1399</v>
      </c>
      <c r="I2" s="32">
        <v>1400</v>
      </c>
      <c r="J2" s="32">
        <v>1401</v>
      </c>
      <c r="K2" s="32">
        <v>1402</v>
      </c>
      <c r="L2" s="32">
        <v>1403</v>
      </c>
      <c r="M2" s="32">
        <v>1404</v>
      </c>
      <c r="N2" s="32">
        <v>1405</v>
      </c>
    </row>
    <row r="3" spans="1:14" x14ac:dyDescent="0.35">
      <c r="A3" s="6" t="s">
        <v>4</v>
      </c>
      <c r="B3" s="7"/>
      <c r="C3" s="33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35">
      <c r="A4" s="32" t="s">
        <v>5</v>
      </c>
      <c r="B4" s="32"/>
      <c r="C4" s="32"/>
      <c r="D4" s="10">
        <v>972000</v>
      </c>
      <c r="E4" s="10">
        <v>1080000</v>
      </c>
      <c r="F4" s="10">
        <v>1261000</v>
      </c>
      <c r="G4" s="10">
        <v>1800000</v>
      </c>
      <c r="H4" s="10">
        <v>2400000</v>
      </c>
      <c r="I4" s="10">
        <v>3700000</v>
      </c>
      <c r="J4" s="10">
        <v>5600000</v>
      </c>
      <c r="K4" s="10">
        <v>6960000</v>
      </c>
      <c r="L4" s="10">
        <v>9600000</v>
      </c>
      <c r="M4" s="10">
        <v>13500000</v>
      </c>
      <c r="N4" s="10">
        <v>22000000</v>
      </c>
    </row>
    <row r="5" spans="1:14" x14ac:dyDescent="0.35">
      <c r="A5" s="32" t="s">
        <v>6</v>
      </c>
      <c r="B5" s="32"/>
      <c r="C5" s="32"/>
      <c r="D5" s="26">
        <f>D4/D6</f>
        <v>8.7668465283242654</v>
      </c>
      <c r="E5" s="26">
        <f t="shared" ref="E5:M5" si="0">E4/E6</f>
        <v>8.5647614257948685</v>
      </c>
      <c r="F5" s="26">
        <f t="shared" si="0"/>
        <v>3.9897172236503855</v>
      </c>
      <c r="G5" s="26">
        <f t="shared" si="0"/>
        <v>3.9786332657948056</v>
      </c>
      <c r="H5" s="26">
        <f t="shared" si="0"/>
        <v>2.3752577319587629</v>
      </c>
      <c r="I5" s="26">
        <f t="shared" si="0"/>
        <v>3.2449024336768253</v>
      </c>
      <c r="J5" s="26">
        <f t="shared" si="0"/>
        <v>3.5801811401172081</v>
      </c>
      <c r="K5" s="26">
        <f t="shared" si="0"/>
        <v>2.7374631268436578</v>
      </c>
      <c r="L5" s="26">
        <f t="shared" si="0"/>
        <v>2.2381216501880754</v>
      </c>
      <c r="M5" s="26">
        <f t="shared" si="0"/>
        <v>1.210743329140574</v>
      </c>
      <c r="N5" s="26">
        <f>N4/N6</f>
        <v>1.1651410968214599</v>
      </c>
    </row>
    <row r="6" spans="1:14" x14ac:dyDescent="0.35">
      <c r="A6" s="9" t="s">
        <v>8</v>
      </c>
      <c r="B6" s="34"/>
      <c r="C6" s="34"/>
      <c r="D6" s="20">
        <f>SUM(D7:D18)/COUNTA(D7:D18)</f>
        <v>110872.25</v>
      </c>
      <c r="E6" s="20">
        <f t="shared" ref="E6:M6" si="1">SUM(E7:E18)/COUNTA(E7:E18)</f>
        <v>126098.08333333333</v>
      </c>
      <c r="F6" s="20">
        <f t="shared" si="1"/>
        <v>316062.5</v>
      </c>
      <c r="G6" s="20">
        <f t="shared" si="1"/>
        <v>452416.66666666669</v>
      </c>
      <c r="H6" s="20">
        <f t="shared" si="1"/>
        <v>1010416.6666666666</v>
      </c>
      <c r="I6" s="20">
        <f t="shared" si="1"/>
        <v>1140250</v>
      </c>
      <c r="J6" s="20">
        <f t="shared" si="1"/>
        <v>1564166.6666666667</v>
      </c>
      <c r="K6" s="20">
        <f t="shared" si="1"/>
        <v>2542500</v>
      </c>
      <c r="L6" s="20">
        <f t="shared" si="1"/>
        <v>4289311.083333333</v>
      </c>
      <c r="M6" s="20">
        <f t="shared" si="1"/>
        <v>11150175</v>
      </c>
      <c r="N6" s="20">
        <f>SUM(N7:N18)/COUNTA(N7:N18)</f>
        <v>18881833.333333332</v>
      </c>
    </row>
    <row r="7" spans="1:14" x14ac:dyDescent="0.35">
      <c r="A7" s="8" t="s">
        <v>9</v>
      </c>
      <c r="B7" s="30">
        <f>(SUM(D7:N7))/COUNTA(D7:N7)</f>
        <v>3263089.7272727271</v>
      </c>
      <c r="C7" s="30"/>
      <c r="D7" s="10">
        <v>103500</v>
      </c>
      <c r="E7" s="10">
        <v>116287</v>
      </c>
      <c r="F7" s="11">
        <v>160500</v>
      </c>
      <c r="G7" s="10">
        <v>428000</v>
      </c>
      <c r="H7" s="11">
        <v>634000</v>
      </c>
      <c r="I7" s="10">
        <v>1052000</v>
      </c>
      <c r="J7" s="11">
        <v>1250000</v>
      </c>
      <c r="K7" s="10">
        <v>2527000</v>
      </c>
      <c r="L7" s="10">
        <v>3620000</v>
      </c>
      <c r="M7" s="10">
        <v>8181700</v>
      </c>
      <c r="N7" s="10">
        <v>17821000</v>
      </c>
    </row>
    <row r="8" spans="1:14" x14ac:dyDescent="0.35">
      <c r="A8" s="8" t="s">
        <v>10</v>
      </c>
      <c r="B8" s="30">
        <f>(SUM(D8:N8))/COUNTA(D8:N8)</f>
        <v>3262795.4545454546</v>
      </c>
      <c r="C8" s="30"/>
      <c r="D8" s="10">
        <v>105750</v>
      </c>
      <c r="E8" s="11">
        <v>113000</v>
      </c>
      <c r="F8" s="10">
        <v>190000</v>
      </c>
      <c r="G8" s="10">
        <v>462000</v>
      </c>
      <c r="H8" s="10">
        <v>640000</v>
      </c>
      <c r="I8" s="11">
        <v>916000</v>
      </c>
      <c r="J8" s="10">
        <v>1305000</v>
      </c>
      <c r="K8" s="10">
        <v>2734000</v>
      </c>
      <c r="L8" s="10">
        <v>3420000</v>
      </c>
      <c r="M8" s="10">
        <v>6805000</v>
      </c>
      <c r="N8" s="10">
        <v>19200000</v>
      </c>
    </row>
    <row r="9" spans="1:14" x14ac:dyDescent="0.35">
      <c r="A9" s="8" t="s">
        <v>11</v>
      </c>
      <c r="B9" s="30">
        <f>(SUM(D9:N9))/COUNTA(D9:N9)</f>
        <v>3048536.0909090908</v>
      </c>
      <c r="C9" s="30"/>
      <c r="D9" s="11">
        <v>101617</v>
      </c>
      <c r="E9" s="10">
        <v>114730</v>
      </c>
      <c r="F9" s="10">
        <v>200250</v>
      </c>
      <c r="G9" s="10">
        <v>420000</v>
      </c>
      <c r="H9" s="10">
        <v>731000</v>
      </c>
      <c r="I9" s="10">
        <v>1080000</v>
      </c>
      <c r="J9" s="10">
        <v>1430000</v>
      </c>
      <c r="K9" s="10">
        <v>2464000</v>
      </c>
      <c r="L9" s="11">
        <v>3375000</v>
      </c>
      <c r="M9" s="11">
        <v>6617300</v>
      </c>
      <c r="N9" s="11">
        <v>17000000</v>
      </c>
    </row>
    <row r="10" spans="1:14" x14ac:dyDescent="0.35">
      <c r="A10" s="8" t="s">
        <v>12</v>
      </c>
      <c r="B10" s="30">
        <f t="shared" ref="B10:B18" si="2">(SUM(D10:N10))/COUNTA(D10:N10)</f>
        <v>3201205.4545454546</v>
      </c>
      <c r="C10" s="30"/>
      <c r="D10" s="12">
        <v>111700</v>
      </c>
      <c r="E10" s="10">
        <v>115660</v>
      </c>
      <c r="F10" s="10">
        <v>235000</v>
      </c>
      <c r="G10" s="10">
        <v>436000</v>
      </c>
      <c r="H10" s="10">
        <v>930000</v>
      </c>
      <c r="I10" s="10">
        <v>1064000</v>
      </c>
      <c r="J10" s="10">
        <v>1364000</v>
      </c>
      <c r="K10" s="10">
        <v>2385000</v>
      </c>
      <c r="L10" s="10">
        <v>3434800</v>
      </c>
      <c r="M10" s="10">
        <v>7437100</v>
      </c>
      <c r="N10" s="10">
        <v>17700000</v>
      </c>
    </row>
    <row r="11" spans="1:14" x14ac:dyDescent="0.35">
      <c r="A11" s="8" t="s">
        <v>13</v>
      </c>
      <c r="B11" s="30">
        <f t="shared" si="2"/>
        <v>3314881.8181818184</v>
      </c>
      <c r="C11" s="30"/>
      <c r="D11" s="10">
        <v>113000</v>
      </c>
      <c r="E11" s="10">
        <v>118000</v>
      </c>
      <c r="F11" s="10">
        <v>280000</v>
      </c>
      <c r="G11" s="10">
        <v>414000</v>
      </c>
      <c r="H11" s="10">
        <v>1110000</v>
      </c>
      <c r="I11" s="10">
        <v>1080000</v>
      </c>
      <c r="J11" s="10">
        <v>1374000</v>
      </c>
      <c r="K11" s="10">
        <v>2365000</v>
      </c>
      <c r="L11" s="10">
        <v>3519700</v>
      </c>
      <c r="M11" s="10">
        <v>7520000</v>
      </c>
      <c r="N11" s="10">
        <v>18570000</v>
      </c>
    </row>
    <row r="12" spans="1:14" ht="15" thickBot="1" x14ac:dyDescent="0.4">
      <c r="A12" s="8" t="s">
        <v>14</v>
      </c>
      <c r="B12" s="30">
        <f>(SUM(D12:N12))/COUNTA(D12:N12)</f>
        <v>3832193.9090909092</v>
      </c>
      <c r="C12" s="30"/>
      <c r="D12" s="18">
        <v>114000</v>
      </c>
      <c r="E12" s="19">
        <v>125000</v>
      </c>
      <c r="F12" s="18">
        <v>357000</v>
      </c>
      <c r="G12" s="18">
        <v>416000</v>
      </c>
      <c r="H12" s="18">
        <v>1100000</v>
      </c>
      <c r="I12" s="18">
        <v>1164000</v>
      </c>
      <c r="J12" s="18">
        <v>1273000</v>
      </c>
      <c r="K12" s="18">
        <v>2362000</v>
      </c>
      <c r="L12" s="18">
        <v>3592133</v>
      </c>
      <c r="M12" s="18">
        <v>8651000</v>
      </c>
      <c r="N12" s="18">
        <v>23000000</v>
      </c>
    </row>
    <row r="13" spans="1:14" x14ac:dyDescent="0.35">
      <c r="A13" s="8" t="s">
        <v>15</v>
      </c>
      <c r="B13" s="30">
        <f t="shared" si="2"/>
        <v>2195750</v>
      </c>
      <c r="C13" s="30"/>
      <c r="D13" s="14">
        <v>110000</v>
      </c>
      <c r="E13" s="15">
        <v>121500</v>
      </c>
      <c r="F13" s="14">
        <v>334000</v>
      </c>
      <c r="G13" s="16">
        <v>407000</v>
      </c>
      <c r="H13" s="17">
        <v>1360000</v>
      </c>
      <c r="I13" s="14">
        <v>1160000</v>
      </c>
      <c r="J13" s="15">
        <v>1385000</v>
      </c>
      <c r="K13" s="16">
        <v>2300000</v>
      </c>
      <c r="L13" s="14">
        <v>4080000</v>
      </c>
      <c r="M13" s="14">
        <v>10700000</v>
      </c>
      <c r="N13" s="15"/>
    </row>
    <row r="14" spans="1:14" x14ac:dyDescent="0.35">
      <c r="A14" s="8" t="s">
        <v>16</v>
      </c>
      <c r="B14" s="30">
        <f t="shared" si="2"/>
        <v>2249340</v>
      </c>
      <c r="C14" s="30"/>
      <c r="D14" s="10">
        <v>113400</v>
      </c>
      <c r="E14" s="12">
        <v>124000</v>
      </c>
      <c r="F14" s="10">
        <v>432000</v>
      </c>
      <c r="G14" s="10">
        <v>408000</v>
      </c>
      <c r="H14" s="10">
        <v>1188000</v>
      </c>
      <c r="I14" s="10">
        <v>1196000</v>
      </c>
      <c r="J14" s="10">
        <v>1464000</v>
      </c>
      <c r="K14" s="10">
        <v>2470000</v>
      </c>
      <c r="L14" s="12">
        <v>4598000</v>
      </c>
      <c r="M14" s="12">
        <v>10500000</v>
      </c>
      <c r="N14" s="10"/>
    </row>
    <row r="15" spans="1:14" x14ac:dyDescent="0.35">
      <c r="A15" s="8" t="s">
        <v>17</v>
      </c>
      <c r="B15" s="30">
        <f t="shared" si="2"/>
        <v>2476810</v>
      </c>
      <c r="C15" s="30"/>
      <c r="D15" s="10">
        <v>113500</v>
      </c>
      <c r="E15" s="12">
        <v>128000</v>
      </c>
      <c r="F15" s="13">
        <v>483000</v>
      </c>
      <c r="G15" s="12">
        <v>451000</v>
      </c>
      <c r="H15" s="10">
        <v>1130000</v>
      </c>
      <c r="I15" s="13">
        <v>1300000</v>
      </c>
      <c r="J15" s="12">
        <v>1582000</v>
      </c>
      <c r="K15" s="10">
        <v>2464000</v>
      </c>
      <c r="L15" s="10">
        <v>4686600</v>
      </c>
      <c r="M15" s="12">
        <v>12430000</v>
      </c>
      <c r="N15" s="10"/>
    </row>
    <row r="16" spans="1:14" x14ac:dyDescent="0.35">
      <c r="A16" s="8" t="s">
        <v>18</v>
      </c>
      <c r="B16" s="30">
        <f t="shared" si="2"/>
        <v>2825890</v>
      </c>
      <c r="C16" s="30"/>
      <c r="D16" s="10">
        <v>113000</v>
      </c>
      <c r="E16" s="10">
        <v>140000</v>
      </c>
      <c r="F16" s="12">
        <v>332000</v>
      </c>
      <c r="G16" s="10">
        <v>491000</v>
      </c>
      <c r="H16" s="10">
        <v>1160000</v>
      </c>
      <c r="I16" s="10">
        <v>1260000</v>
      </c>
      <c r="J16" s="10">
        <v>1800000</v>
      </c>
      <c r="K16" s="12">
        <v>2565000</v>
      </c>
      <c r="L16" s="10">
        <v>5137900</v>
      </c>
      <c r="M16" s="10">
        <v>15260000</v>
      </c>
      <c r="N16" s="10"/>
    </row>
    <row r="17" spans="1:14" x14ac:dyDescent="0.35">
      <c r="A17" s="8" t="s">
        <v>19</v>
      </c>
      <c r="B17" s="30">
        <f t="shared" si="2"/>
        <v>3361960</v>
      </c>
      <c r="C17" s="30"/>
      <c r="D17" s="10">
        <v>115000</v>
      </c>
      <c r="E17" s="10">
        <v>148000</v>
      </c>
      <c r="F17" s="10">
        <v>367000</v>
      </c>
      <c r="G17" s="10">
        <v>510000</v>
      </c>
      <c r="H17" s="10">
        <v>1091000</v>
      </c>
      <c r="I17" s="10">
        <v>1211000</v>
      </c>
      <c r="J17" s="10">
        <v>2180000</v>
      </c>
      <c r="K17" s="10">
        <v>2764000</v>
      </c>
      <c r="L17" s="10">
        <v>5657600</v>
      </c>
      <c r="M17" s="10">
        <v>19576000</v>
      </c>
      <c r="N17" s="10"/>
    </row>
    <row r="18" spans="1:14" x14ac:dyDescent="0.35">
      <c r="A18" s="8" t="s">
        <v>20</v>
      </c>
      <c r="B18" s="30">
        <f t="shared" si="2"/>
        <v>3547100</v>
      </c>
      <c r="C18" s="30"/>
      <c r="D18" s="13">
        <v>116000</v>
      </c>
      <c r="E18" s="13">
        <v>149000</v>
      </c>
      <c r="F18" s="10">
        <v>422000</v>
      </c>
      <c r="G18" s="13">
        <v>586000</v>
      </c>
      <c r="H18" s="12">
        <v>1051000</v>
      </c>
      <c r="I18" s="10">
        <v>1200000</v>
      </c>
      <c r="J18" s="13">
        <v>2363000</v>
      </c>
      <c r="K18" s="13">
        <v>3110000</v>
      </c>
      <c r="L18" s="13">
        <v>6350000</v>
      </c>
      <c r="M18" s="13">
        <v>20124000</v>
      </c>
      <c r="N18" s="10"/>
    </row>
  </sheetData>
  <mergeCells count="28">
    <mergeCell ref="K2:K3"/>
    <mergeCell ref="L2:L3"/>
    <mergeCell ref="M2:M3"/>
    <mergeCell ref="N2:N3"/>
    <mergeCell ref="B6:C6"/>
    <mergeCell ref="E2:E3"/>
    <mergeCell ref="F2:F3"/>
    <mergeCell ref="G2:G3"/>
    <mergeCell ref="H2:H3"/>
    <mergeCell ref="I2:I3"/>
    <mergeCell ref="J2:J3"/>
    <mergeCell ref="A1:D1"/>
    <mergeCell ref="A5:C5"/>
    <mergeCell ref="A4:C4"/>
    <mergeCell ref="C2:C3"/>
    <mergeCell ref="D2:D3"/>
    <mergeCell ref="B7:C7"/>
    <mergeCell ref="B8:C8"/>
    <mergeCell ref="B9:C9"/>
    <mergeCell ref="B10:C10"/>
    <mergeCell ref="B11:C11"/>
    <mergeCell ref="B17:C17"/>
    <mergeCell ref="B18:C18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34B9-9709-4313-B381-FAF6BE0B9DB7}">
  <dimension ref="A1:B13"/>
  <sheetViews>
    <sheetView rightToLeft="1" workbookViewId="0">
      <selection activeCell="M10" sqref="M10"/>
    </sheetView>
  </sheetViews>
  <sheetFormatPr defaultRowHeight="14.5" x14ac:dyDescent="0.35"/>
  <sheetData>
    <row r="1" spans="1:2" x14ac:dyDescent="0.35">
      <c r="A1" t="s">
        <v>166</v>
      </c>
    </row>
    <row r="2" spans="1:2" x14ac:dyDescent="0.35">
      <c r="A2" s="29" t="s">
        <v>3</v>
      </c>
      <c r="B2" s="27" t="s">
        <v>154</v>
      </c>
    </row>
    <row r="3" spans="1:2" x14ac:dyDescent="0.35">
      <c r="A3" s="23" t="s">
        <v>155</v>
      </c>
      <c r="B3" s="28">
        <v>8.7668465283242654</v>
      </c>
    </row>
    <row r="4" spans="1:2" x14ac:dyDescent="0.35">
      <c r="A4" s="23" t="s">
        <v>156</v>
      </c>
      <c r="B4" s="28">
        <v>8.5647614257948685</v>
      </c>
    </row>
    <row r="5" spans="1:2" x14ac:dyDescent="0.35">
      <c r="A5" s="23" t="s">
        <v>157</v>
      </c>
      <c r="B5" s="28">
        <v>3.9897172236503855</v>
      </c>
    </row>
    <row r="6" spans="1:2" x14ac:dyDescent="0.35">
      <c r="A6" s="23" t="s">
        <v>158</v>
      </c>
      <c r="B6" s="28">
        <v>3.9786332657948056</v>
      </c>
    </row>
    <row r="7" spans="1:2" x14ac:dyDescent="0.35">
      <c r="A7" s="23" t="s">
        <v>159</v>
      </c>
      <c r="B7" s="28">
        <v>2.3752577319587629</v>
      </c>
    </row>
    <row r="8" spans="1:2" x14ac:dyDescent="0.35">
      <c r="A8" s="23" t="s">
        <v>160</v>
      </c>
      <c r="B8" s="28">
        <v>3.2449024336768253</v>
      </c>
    </row>
    <row r="9" spans="1:2" x14ac:dyDescent="0.35">
      <c r="A9" s="23" t="s">
        <v>161</v>
      </c>
      <c r="B9" s="28">
        <v>3.5801811401172081</v>
      </c>
    </row>
    <row r="10" spans="1:2" x14ac:dyDescent="0.35">
      <c r="A10" s="23" t="s">
        <v>162</v>
      </c>
      <c r="B10" s="28">
        <v>2.7374631268436578</v>
      </c>
    </row>
    <row r="11" spans="1:2" x14ac:dyDescent="0.35">
      <c r="A11" s="23" t="s">
        <v>163</v>
      </c>
      <c r="B11" s="28">
        <v>2.2381216501880754</v>
      </c>
    </row>
    <row r="12" spans="1:2" x14ac:dyDescent="0.35">
      <c r="A12" s="23" t="s">
        <v>164</v>
      </c>
      <c r="B12" s="28">
        <v>1.210743329140574</v>
      </c>
    </row>
    <row r="13" spans="1:2" x14ac:dyDescent="0.35">
      <c r="A13" s="23" t="s">
        <v>165</v>
      </c>
      <c r="B13" s="28">
        <v>1.1651410968214599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C386-9522-4ECE-B788-048FC0CB672A}">
  <dimension ref="A1:I16"/>
  <sheetViews>
    <sheetView rightToLeft="1" tabSelected="1" workbookViewId="0">
      <selection activeCell="G6" sqref="G6"/>
    </sheetView>
  </sheetViews>
  <sheetFormatPr defaultRowHeight="14.5" x14ac:dyDescent="0.35"/>
  <cols>
    <col min="1" max="1" width="14.6328125" style="43" bestFit="1" customWidth="1"/>
  </cols>
  <sheetData>
    <row r="1" spans="1:9" x14ac:dyDescent="0.35">
      <c r="A1" s="37">
        <v>5.6576000000000004</v>
      </c>
      <c r="B1">
        <v>3.53</v>
      </c>
      <c r="C1" s="36">
        <f>B1/A1</f>
        <v>0.623939479638009</v>
      </c>
    </row>
    <row r="2" spans="1:9" x14ac:dyDescent="0.35">
      <c r="A2" s="38">
        <v>6.35</v>
      </c>
      <c r="B2">
        <v>3.53</v>
      </c>
      <c r="C2" s="36">
        <f>B2/A2</f>
        <v>0.55590551181102366</v>
      </c>
    </row>
    <row r="3" spans="1:9" x14ac:dyDescent="0.35">
      <c r="A3" s="37">
        <v>8.1816999999999993</v>
      </c>
      <c r="B3">
        <v>10.67</v>
      </c>
      <c r="C3" s="36">
        <f t="shared" ref="C3:C16" si="0">B3/A3</f>
        <v>1.3041299485437012</v>
      </c>
      <c r="G3" s="36">
        <f>H3*I3</f>
        <v>335.60397429943424</v>
      </c>
      <c r="H3">
        <v>23.5</v>
      </c>
      <c r="I3" s="44">
        <f>SUM(C:C)</f>
        <v>14.281020182954649</v>
      </c>
    </row>
    <row r="4" spans="1:9" x14ac:dyDescent="0.35">
      <c r="A4" s="37">
        <v>6.8049999999999997</v>
      </c>
      <c r="B4">
        <v>9.06</v>
      </c>
      <c r="C4" s="36">
        <f t="shared" si="0"/>
        <v>1.3313739897134462</v>
      </c>
    </row>
    <row r="5" spans="1:9" x14ac:dyDescent="0.35">
      <c r="A5" s="39">
        <v>6.6173000000000002</v>
      </c>
      <c r="B5">
        <v>8.5</v>
      </c>
      <c r="C5" s="36">
        <f t="shared" si="0"/>
        <v>1.2845118099526998</v>
      </c>
    </row>
    <row r="6" spans="1:9" x14ac:dyDescent="0.35">
      <c r="A6" s="37">
        <v>7.4371</v>
      </c>
      <c r="B6">
        <v>8.18</v>
      </c>
      <c r="C6" s="36">
        <f t="shared" si="0"/>
        <v>1.0998910865794462</v>
      </c>
    </row>
    <row r="7" spans="1:9" x14ac:dyDescent="0.35">
      <c r="A7" s="37">
        <v>7.52</v>
      </c>
      <c r="B7">
        <v>11.85</v>
      </c>
      <c r="C7" s="36">
        <f t="shared" si="0"/>
        <v>1.5757978723404256</v>
      </c>
    </row>
    <row r="8" spans="1:9" ht="15" thickBot="1" x14ac:dyDescent="0.4">
      <c r="A8" s="40">
        <v>8.6509999999999998</v>
      </c>
      <c r="B8">
        <v>9.4</v>
      </c>
      <c r="C8" s="36">
        <f t="shared" si="0"/>
        <v>1.0865795861750087</v>
      </c>
    </row>
    <row r="9" spans="1:9" x14ac:dyDescent="0.35">
      <c r="A9" s="41">
        <v>10.7</v>
      </c>
      <c r="B9">
        <v>9.4</v>
      </c>
      <c r="C9" s="36">
        <f t="shared" si="0"/>
        <v>0.87850467289719636</v>
      </c>
    </row>
    <row r="10" spans="1:9" x14ac:dyDescent="0.35">
      <c r="A10" s="42">
        <v>10.5</v>
      </c>
      <c r="B10">
        <v>9.4</v>
      </c>
      <c r="C10" s="36">
        <f t="shared" si="0"/>
        <v>0.89523809523809528</v>
      </c>
    </row>
    <row r="11" spans="1:9" x14ac:dyDescent="0.35">
      <c r="A11" s="42">
        <v>12.43</v>
      </c>
      <c r="B11">
        <v>9.4</v>
      </c>
      <c r="C11" s="36">
        <f t="shared" si="0"/>
        <v>0.75623491552695099</v>
      </c>
    </row>
    <row r="12" spans="1:9" x14ac:dyDescent="0.35">
      <c r="A12" s="37">
        <v>15.26</v>
      </c>
      <c r="B12">
        <v>9.3000000000000007</v>
      </c>
      <c r="C12" s="36">
        <f t="shared" si="0"/>
        <v>0.60943643512450862</v>
      </c>
    </row>
    <row r="13" spans="1:9" x14ac:dyDescent="0.35">
      <c r="A13" s="37">
        <v>19.576000000000001</v>
      </c>
      <c r="B13">
        <v>9.4</v>
      </c>
      <c r="C13" s="36">
        <f t="shared" si="0"/>
        <v>0.48017981201471188</v>
      </c>
    </row>
    <row r="14" spans="1:9" x14ac:dyDescent="0.35">
      <c r="A14" s="38">
        <v>20.123999999999999</v>
      </c>
      <c r="B14">
        <v>11.33</v>
      </c>
      <c r="C14" s="36">
        <f t="shared" si="0"/>
        <v>0.56300934207910958</v>
      </c>
    </row>
    <row r="15" spans="1:9" x14ac:dyDescent="0.35">
      <c r="A15" s="37">
        <v>17.821000000000002</v>
      </c>
      <c r="B15">
        <v>11.33</v>
      </c>
      <c r="C15" s="36">
        <f t="shared" si="0"/>
        <v>0.63576679198698161</v>
      </c>
    </row>
    <row r="16" spans="1:9" x14ac:dyDescent="0.35">
      <c r="A16" s="37">
        <v>19.2</v>
      </c>
      <c r="B16">
        <v>11.53</v>
      </c>
      <c r="C16" s="36">
        <f t="shared" si="0"/>
        <v>0.60052083333333328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8CFD-5389-454E-BBF1-4579C4CD4117}">
  <dimension ref="A1:B132"/>
  <sheetViews>
    <sheetView rightToLeft="1" topLeftCell="A3" zoomScale="67" workbookViewId="0">
      <selection activeCell="C3" sqref="C3"/>
    </sheetView>
  </sheetViews>
  <sheetFormatPr defaultRowHeight="14.5" x14ac:dyDescent="0.35"/>
  <cols>
    <col min="1" max="1" width="15.08984375" customWidth="1"/>
    <col min="2" max="2" width="11" customWidth="1"/>
  </cols>
  <sheetData>
    <row r="1" spans="1:2" x14ac:dyDescent="0.35">
      <c r="A1" s="22" t="s">
        <v>21</v>
      </c>
      <c r="B1" s="10">
        <v>103500</v>
      </c>
    </row>
    <row r="2" spans="1:2" x14ac:dyDescent="0.35">
      <c r="A2" s="22" t="s">
        <v>22</v>
      </c>
      <c r="B2" s="10">
        <v>105750</v>
      </c>
    </row>
    <row r="3" spans="1:2" x14ac:dyDescent="0.35">
      <c r="A3" s="22" t="s">
        <v>23</v>
      </c>
      <c r="B3" s="11">
        <v>101617</v>
      </c>
    </row>
    <row r="4" spans="1:2" x14ac:dyDescent="0.35">
      <c r="A4" s="22" t="s">
        <v>24</v>
      </c>
      <c r="B4" s="21">
        <v>111700</v>
      </c>
    </row>
    <row r="5" spans="1:2" x14ac:dyDescent="0.35">
      <c r="A5" s="22" t="s">
        <v>25</v>
      </c>
      <c r="B5" s="10">
        <v>113000</v>
      </c>
    </row>
    <row r="6" spans="1:2" ht="15" thickBot="1" x14ac:dyDescent="0.4">
      <c r="A6" s="22" t="s">
        <v>26</v>
      </c>
      <c r="B6" s="18">
        <v>114000</v>
      </c>
    </row>
    <row r="7" spans="1:2" x14ac:dyDescent="0.35">
      <c r="A7" s="22" t="s">
        <v>27</v>
      </c>
      <c r="B7" s="14">
        <v>110000</v>
      </c>
    </row>
    <row r="8" spans="1:2" x14ac:dyDescent="0.35">
      <c r="A8" s="22" t="s">
        <v>28</v>
      </c>
      <c r="B8" s="10">
        <v>113400</v>
      </c>
    </row>
    <row r="9" spans="1:2" x14ac:dyDescent="0.35">
      <c r="A9" s="22" t="s">
        <v>29</v>
      </c>
      <c r="B9" s="10">
        <v>113500</v>
      </c>
    </row>
    <row r="10" spans="1:2" x14ac:dyDescent="0.35">
      <c r="A10" s="22" t="s">
        <v>30</v>
      </c>
      <c r="B10" s="10">
        <v>113000</v>
      </c>
    </row>
    <row r="11" spans="1:2" x14ac:dyDescent="0.35">
      <c r="A11" s="22" t="s">
        <v>31</v>
      </c>
      <c r="B11" s="10">
        <v>115000</v>
      </c>
    </row>
    <row r="12" spans="1:2" x14ac:dyDescent="0.35">
      <c r="A12" s="22" t="s">
        <v>32</v>
      </c>
      <c r="B12" s="13">
        <v>116000</v>
      </c>
    </row>
    <row r="13" spans="1:2" x14ac:dyDescent="0.35">
      <c r="A13" s="22" t="s">
        <v>33</v>
      </c>
      <c r="B13" s="10">
        <v>116287</v>
      </c>
    </row>
    <row r="14" spans="1:2" x14ac:dyDescent="0.35">
      <c r="A14" s="22" t="s">
        <v>34</v>
      </c>
      <c r="B14" s="11">
        <v>113000</v>
      </c>
    </row>
    <row r="15" spans="1:2" x14ac:dyDescent="0.35">
      <c r="A15" s="22" t="s">
        <v>35</v>
      </c>
      <c r="B15" s="10">
        <v>114730</v>
      </c>
    </row>
    <row r="16" spans="1:2" x14ac:dyDescent="0.35">
      <c r="A16" s="22" t="s">
        <v>36</v>
      </c>
      <c r="B16" s="10">
        <v>115660</v>
      </c>
    </row>
    <row r="17" spans="1:2" x14ac:dyDescent="0.35">
      <c r="A17" s="22" t="s">
        <v>37</v>
      </c>
      <c r="B17" s="10">
        <v>118000</v>
      </c>
    </row>
    <row r="18" spans="1:2" ht="15" thickBot="1" x14ac:dyDescent="0.4">
      <c r="A18" s="22" t="s">
        <v>38</v>
      </c>
      <c r="B18" s="19">
        <v>125000</v>
      </c>
    </row>
    <row r="19" spans="1:2" x14ac:dyDescent="0.35">
      <c r="A19" s="22" t="s">
        <v>39</v>
      </c>
      <c r="B19" s="15">
        <v>121500</v>
      </c>
    </row>
    <row r="20" spans="1:2" x14ac:dyDescent="0.35">
      <c r="A20" s="22" t="s">
        <v>40</v>
      </c>
      <c r="B20" s="21">
        <v>124000</v>
      </c>
    </row>
    <row r="21" spans="1:2" x14ac:dyDescent="0.35">
      <c r="A21" s="22" t="s">
        <v>41</v>
      </c>
      <c r="B21" s="21">
        <v>128000</v>
      </c>
    </row>
    <row r="22" spans="1:2" x14ac:dyDescent="0.35">
      <c r="A22" s="22" t="s">
        <v>42</v>
      </c>
      <c r="B22" s="10">
        <v>140000</v>
      </c>
    </row>
    <row r="23" spans="1:2" x14ac:dyDescent="0.35">
      <c r="A23" s="22" t="s">
        <v>43</v>
      </c>
      <c r="B23" s="10">
        <v>148000</v>
      </c>
    </row>
    <row r="24" spans="1:2" x14ac:dyDescent="0.35">
      <c r="A24" s="22" t="s">
        <v>44</v>
      </c>
      <c r="B24" s="13">
        <v>149000</v>
      </c>
    </row>
    <row r="25" spans="1:2" x14ac:dyDescent="0.35">
      <c r="A25" s="22" t="s">
        <v>45</v>
      </c>
      <c r="B25" s="11">
        <v>160500</v>
      </c>
    </row>
    <row r="26" spans="1:2" x14ac:dyDescent="0.35">
      <c r="A26" s="22" t="s">
        <v>46</v>
      </c>
      <c r="B26" s="10">
        <v>190000</v>
      </c>
    </row>
    <row r="27" spans="1:2" x14ac:dyDescent="0.35">
      <c r="A27" s="22" t="s">
        <v>47</v>
      </c>
      <c r="B27" s="10">
        <v>200250</v>
      </c>
    </row>
    <row r="28" spans="1:2" x14ac:dyDescent="0.35">
      <c r="A28" s="22" t="s">
        <v>48</v>
      </c>
      <c r="B28" s="10">
        <v>235000</v>
      </c>
    </row>
    <row r="29" spans="1:2" x14ac:dyDescent="0.35">
      <c r="A29" s="22" t="s">
        <v>49</v>
      </c>
      <c r="B29" s="10">
        <v>280000</v>
      </c>
    </row>
    <row r="30" spans="1:2" ht="15" thickBot="1" x14ac:dyDescent="0.4">
      <c r="A30" s="22" t="s">
        <v>50</v>
      </c>
      <c r="B30" s="18">
        <v>357000</v>
      </c>
    </row>
    <row r="31" spans="1:2" x14ac:dyDescent="0.35">
      <c r="A31" s="22" t="s">
        <v>51</v>
      </c>
      <c r="B31" s="14">
        <v>334000</v>
      </c>
    </row>
    <row r="32" spans="1:2" x14ac:dyDescent="0.35">
      <c r="A32" s="22" t="s">
        <v>52</v>
      </c>
      <c r="B32" s="10">
        <v>432000</v>
      </c>
    </row>
    <row r="33" spans="1:2" x14ac:dyDescent="0.35">
      <c r="A33" s="22" t="s">
        <v>53</v>
      </c>
      <c r="B33" s="13">
        <v>483000</v>
      </c>
    </row>
    <row r="34" spans="1:2" x14ac:dyDescent="0.35">
      <c r="A34" s="22" t="s">
        <v>54</v>
      </c>
      <c r="B34" s="21">
        <v>332000</v>
      </c>
    </row>
    <row r="35" spans="1:2" x14ac:dyDescent="0.35">
      <c r="A35" s="22" t="s">
        <v>55</v>
      </c>
      <c r="B35" s="10">
        <v>367000</v>
      </c>
    </row>
    <row r="36" spans="1:2" x14ac:dyDescent="0.35">
      <c r="A36" s="22" t="s">
        <v>56</v>
      </c>
      <c r="B36" s="10">
        <v>422000</v>
      </c>
    </row>
    <row r="37" spans="1:2" x14ac:dyDescent="0.35">
      <c r="A37" s="22" t="s">
        <v>57</v>
      </c>
      <c r="B37" s="10">
        <v>428000</v>
      </c>
    </row>
    <row r="38" spans="1:2" x14ac:dyDescent="0.35">
      <c r="A38" s="22" t="s">
        <v>58</v>
      </c>
      <c r="B38" s="10">
        <v>462000</v>
      </c>
    </row>
    <row r="39" spans="1:2" x14ac:dyDescent="0.35">
      <c r="A39" s="22" t="s">
        <v>59</v>
      </c>
      <c r="B39" s="10">
        <v>420000</v>
      </c>
    </row>
    <row r="40" spans="1:2" x14ac:dyDescent="0.35">
      <c r="A40" s="22" t="s">
        <v>60</v>
      </c>
      <c r="B40" s="10">
        <v>436000</v>
      </c>
    </row>
    <row r="41" spans="1:2" x14ac:dyDescent="0.35">
      <c r="A41" s="22" t="s">
        <v>61</v>
      </c>
      <c r="B41" s="10">
        <v>414000</v>
      </c>
    </row>
    <row r="42" spans="1:2" ht="15" thickBot="1" x14ac:dyDescent="0.4">
      <c r="A42" s="22" t="s">
        <v>62</v>
      </c>
      <c r="B42" s="18">
        <v>416000</v>
      </c>
    </row>
    <row r="43" spans="1:2" x14ac:dyDescent="0.35">
      <c r="A43" s="22" t="s">
        <v>63</v>
      </c>
      <c r="B43" s="16">
        <v>407000</v>
      </c>
    </row>
    <row r="44" spans="1:2" x14ac:dyDescent="0.35">
      <c r="A44" s="22" t="s">
        <v>64</v>
      </c>
      <c r="B44" s="10">
        <v>408000</v>
      </c>
    </row>
    <row r="45" spans="1:2" x14ac:dyDescent="0.35">
      <c r="A45" s="22" t="s">
        <v>65</v>
      </c>
      <c r="B45" s="21">
        <v>451000</v>
      </c>
    </row>
    <row r="46" spans="1:2" x14ac:dyDescent="0.35">
      <c r="A46" s="22" t="s">
        <v>66</v>
      </c>
      <c r="B46" s="10">
        <v>491000</v>
      </c>
    </row>
    <row r="47" spans="1:2" x14ac:dyDescent="0.35">
      <c r="A47" s="22" t="s">
        <v>67</v>
      </c>
      <c r="B47" s="10">
        <v>510000</v>
      </c>
    </row>
    <row r="48" spans="1:2" x14ac:dyDescent="0.35">
      <c r="A48" s="22" t="s">
        <v>68</v>
      </c>
      <c r="B48" s="13">
        <v>586000</v>
      </c>
    </row>
    <row r="49" spans="1:2" x14ac:dyDescent="0.35">
      <c r="A49" s="22" t="s">
        <v>69</v>
      </c>
      <c r="B49" s="11">
        <v>634000</v>
      </c>
    </row>
    <row r="50" spans="1:2" x14ac:dyDescent="0.35">
      <c r="A50" s="22" t="s">
        <v>70</v>
      </c>
      <c r="B50" s="10">
        <v>640000</v>
      </c>
    </row>
    <row r="51" spans="1:2" x14ac:dyDescent="0.35">
      <c r="A51" s="22" t="s">
        <v>71</v>
      </c>
      <c r="B51" s="10">
        <v>731000</v>
      </c>
    </row>
    <row r="52" spans="1:2" x14ac:dyDescent="0.35">
      <c r="A52" s="22" t="s">
        <v>72</v>
      </c>
      <c r="B52" s="10">
        <v>930000</v>
      </c>
    </row>
    <row r="53" spans="1:2" x14ac:dyDescent="0.35">
      <c r="A53" s="22" t="s">
        <v>73</v>
      </c>
      <c r="B53" s="10">
        <v>1110000</v>
      </c>
    </row>
    <row r="54" spans="1:2" ht="15" thickBot="1" x14ac:dyDescent="0.4">
      <c r="A54" s="22" t="s">
        <v>74</v>
      </c>
      <c r="B54" s="18">
        <v>1100000</v>
      </c>
    </row>
    <row r="55" spans="1:2" x14ac:dyDescent="0.35">
      <c r="A55" s="22" t="s">
        <v>75</v>
      </c>
      <c r="B55" s="17">
        <v>1360000</v>
      </c>
    </row>
    <row r="56" spans="1:2" x14ac:dyDescent="0.35">
      <c r="A56" s="22" t="s">
        <v>76</v>
      </c>
      <c r="B56" s="10">
        <v>1188000</v>
      </c>
    </row>
    <row r="57" spans="1:2" x14ac:dyDescent="0.35">
      <c r="A57" s="22" t="s">
        <v>77</v>
      </c>
      <c r="B57" s="10">
        <v>1130000</v>
      </c>
    </row>
    <row r="58" spans="1:2" x14ac:dyDescent="0.35">
      <c r="A58" s="22" t="s">
        <v>78</v>
      </c>
      <c r="B58" s="10">
        <v>1160000</v>
      </c>
    </row>
    <row r="59" spans="1:2" x14ac:dyDescent="0.35">
      <c r="A59" s="22" t="s">
        <v>79</v>
      </c>
      <c r="B59" s="10">
        <v>1091000</v>
      </c>
    </row>
    <row r="60" spans="1:2" x14ac:dyDescent="0.35">
      <c r="A60" s="22" t="s">
        <v>80</v>
      </c>
      <c r="B60" s="21">
        <v>1051000</v>
      </c>
    </row>
    <row r="61" spans="1:2" x14ac:dyDescent="0.35">
      <c r="A61" s="22" t="s">
        <v>81</v>
      </c>
      <c r="B61" s="10">
        <v>1052000</v>
      </c>
    </row>
    <row r="62" spans="1:2" x14ac:dyDescent="0.35">
      <c r="A62" s="22" t="s">
        <v>82</v>
      </c>
      <c r="B62" s="11">
        <v>916000</v>
      </c>
    </row>
    <row r="63" spans="1:2" x14ac:dyDescent="0.35">
      <c r="A63" s="22" t="s">
        <v>83</v>
      </c>
      <c r="B63" s="10">
        <v>1080000</v>
      </c>
    </row>
    <row r="64" spans="1:2" x14ac:dyDescent="0.35">
      <c r="A64" s="22" t="s">
        <v>84</v>
      </c>
      <c r="B64" s="10">
        <v>1064000</v>
      </c>
    </row>
    <row r="65" spans="1:2" x14ac:dyDescent="0.35">
      <c r="A65" s="22" t="s">
        <v>85</v>
      </c>
      <c r="B65" s="10">
        <v>1080000</v>
      </c>
    </row>
    <row r="66" spans="1:2" ht="15" thickBot="1" x14ac:dyDescent="0.4">
      <c r="A66" s="22" t="s">
        <v>86</v>
      </c>
      <c r="B66" s="18">
        <v>1164000</v>
      </c>
    </row>
    <row r="67" spans="1:2" x14ac:dyDescent="0.35">
      <c r="A67" s="22" t="s">
        <v>87</v>
      </c>
      <c r="B67" s="14">
        <v>1160000</v>
      </c>
    </row>
    <row r="68" spans="1:2" x14ac:dyDescent="0.35">
      <c r="A68" s="22" t="s">
        <v>88</v>
      </c>
      <c r="B68" s="10">
        <v>1196000</v>
      </c>
    </row>
    <row r="69" spans="1:2" x14ac:dyDescent="0.35">
      <c r="A69" s="22" t="s">
        <v>89</v>
      </c>
      <c r="B69" s="13">
        <v>1300000</v>
      </c>
    </row>
    <row r="70" spans="1:2" x14ac:dyDescent="0.35">
      <c r="A70" s="22" t="s">
        <v>90</v>
      </c>
      <c r="B70" s="10">
        <v>1260000</v>
      </c>
    </row>
    <row r="71" spans="1:2" x14ac:dyDescent="0.35">
      <c r="A71" s="22" t="s">
        <v>91</v>
      </c>
      <c r="B71" s="10">
        <v>1211000</v>
      </c>
    </row>
    <row r="72" spans="1:2" x14ac:dyDescent="0.35">
      <c r="A72" s="22" t="s">
        <v>92</v>
      </c>
      <c r="B72" s="10">
        <v>1200000</v>
      </c>
    </row>
    <row r="73" spans="1:2" x14ac:dyDescent="0.35">
      <c r="A73" s="22" t="s">
        <v>93</v>
      </c>
      <c r="B73" s="11">
        <v>1250000</v>
      </c>
    </row>
    <row r="74" spans="1:2" x14ac:dyDescent="0.35">
      <c r="A74" s="22" t="s">
        <v>94</v>
      </c>
      <c r="B74" s="10">
        <v>1305000</v>
      </c>
    </row>
    <row r="75" spans="1:2" x14ac:dyDescent="0.35">
      <c r="A75" s="22" t="s">
        <v>95</v>
      </c>
      <c r="B75" s="10">
        <v>1430000</v>
      </c>
    </row>
    <row r="76" spans="1:2" x14ac:dyDescent="0.35">
      <c r="A76" s="22" t="s">
        <v>96</v>
      </c>
      <c r="B76" s="10">
        <v>1364000</v>
      </c>
    </row>
    <row r="77" spans="1:2" x14ac:dyDescent="0.35">
      <c r="A77" s="22" t="s">
        <v>97</v>
      </c>
      <c r="B77" s="10">
        <v>1374000</v>
      </c>
    </row>
    <row r="78" spans="1:2" ht="15" thickBot="1" x14ac:dyDescent="0.4">
      <c r="A78" s="22" t="s">
        <v>98</v>
      </c>
      <c r="B78" s="18">
        <v>1273000</v>
      </c>
    </row>
    <row r="79" spans="1:2" x14ac:dyDescent="0.35">
      <c r="A79" s="22" t="s">
        <v>99</v>
      </c>
      <c r="B79" s="15">
        <v>1385000</v>
      </c>
    </row>
    <row r="80" spans="1:2" x14ac:dyDescent="0.35">
      <c r="A80" s="22" t="s">
        <v>100</v>
      </c>
      <c r="B80" s="10">
        <v>1464000</v>
      </c>
    </row>
    <row r="81" spans="1:2" x14ac:dyDescent="0.35">
      <c r="A81" s="22" t="s">
        <v>101</v>
      </c>
      <c r="B81" s="21">
        <v>1582000</v>
      </c>
    </row>
    <row r="82" spans="1:2" x14ac:dyDescent="0.35">
      <c r="A82" s="22" t="s">
        <v>102</v>
      </c>
      <c r="B82" s="10">
        <v>1800000</v>
      </c>
    </row>
    <row r="83" spans="1:2" x14ac:dyDescent="0.35">
      <c r="A83" s="22" t="s">
        <v>103</v>
      </c>
      <c r="B83" s="10">
        <v>2180000</v>
      </c>
    </row>
    <row r="84" spans="1:2" x14ac:dyDescent="0.35">
      <c r="A84" s="22" t="s">
        <v>104</v>
      </c>
      <c r="B84" s="13">
        <v>2363000</v>
      </c>
    </row>
    <row r="85" spans="1:2" x14ac:dyDescent="0.35">
      <c r="A85" s="22" t="s">
        <v>105</v>
      </c>
      <c r="B85" s="10">
        <v>2527000</v>
      </c>
    </row>
    <row r="86" spans="1:2" x14ac:dyDescent="0.35">
      <c r="A86" s="22" t="s">
        <v>106</v>
      </c>
      <c r="B86" s="10">
        <v>2734000</v>
      </c>
    </row>
    <row r="87" spans="1:2" x14ac:dyDescent="0.35">
      <c r="A87" s="22" t="s">
        <v>107</v>
      </c>
      <c r="B87" s="10">
        <v>2464000</v>
      </c>
    </row>
    <row r="88" spans="1:2" x14ac:dyDescent="0.35">
      <c r="A88" s="22" t="s">
        <v>108</v>
      </c>
      <c r="B88" s="10">
        <v>2385000</v>
      </c>
    </row>
    <row r="89" spans="1:2" x14ac:dyDescent="0.35">
      <c r="A89" s="22" t="s">
        <v>109</v>
      </c>
      <c r="B89" s="10">
        <v>2365000</v>
      </c>
    </row>
    <row r="90" spans="1:2" ht="15" thickBot="1" x14ac:dyDescent="0.4">
      <c r="A90" s="22" t="s">
        <v>110</v>
      </c>
      <c r="B90" s="18">
        <v>2362000</v>
      </c>
    </row>
    <row r="91" spans="1:2" x14ac:dyDescent="0.35">
      <c r="A91" s="22" t="s">
        <v>111</v>
      </c>
      <c r="B91" s="16">
        <v>2300000</v>
      </c>
    </row>
    <row r="92" spans="1:2" x14ac:dyDescent="0.35">
      <c r="A92" s="22" t="s">
        <v>112</v>
      </c>
      <c r="B92" s="10">
        <v>2470000</v>
      </c>
    </row>
    <row r="93" spans="1:2" x14ac:dyDescent="0.35">
      <c r="A93" s="22" t="s">
        <v>113</v>
      </c>
      <c r="B93" s="10">
        <v>2464000</v>
      </c>
    </row>
    <row r="94" spans="1:2" x14ac:dyDescent="0.35">
      <c r="A94" s="22" t="s">
        <v>114</v>
      </c>
      <c r="B94" s="21">
        <v>2565000</v>
      </c>
    </row>
    <row r="95" spans="1:2" x14ac:dyDescent="0.35">
      <c r="A95" s="22" t="s">
        <v>115</v>
      </c>
      <c r="B95" s="10">
        <v>2764000</v>
      </c>
    </row>
    <row r="96" spans="1:2" x14ac:dyDescent="0.35">
      <c r="A96" s="22" t="s">
        <v>116</v>
      </c>
      <c r="B96" s="13">
        <v>3110000</v>
      </c>
    </row>
    <row r="97" spans="1:2" x14ac:dyDescent="0.35">
      <c r="A97" s="22" t="s">
        <v>117</v>
      </c>
      <c r="B97" s="10">
        <v>3620000</v>
      </c>
    </row>
    <row r="98" spans="1:2" x14ac:dyDescent="0.35">
      <c r="A98" s="22" t="s">
        <v>118</v>
      </c>
      <c r="B98" s="10">
        <v>3420000</v>
      </c>
    </row>
    <row r="99" spans="1:2" x14ac:dyDescent="0.35">
      <c r="A99" s="22" t="s">
        <v>119</v>
      </c>
      <c r="B99" s="11">
        <v>3375000</v>
      </c>
    </row>
    <row r="100" spans="1:2" x14ac:dyDescent="0.35">
      <c r="A100" s="22" t="s">
        <v>120</v>
      </c>
      <c r="B100" s="10">
        <v>3434800</v>
      </c>
    </row>
    <row r="101" spans="1:2" x14ac:dyDescent="0.35">
      <c r="A101" s="22" t="s">
        <v>121</v>
      </c>
      <c r="B101" s="10">
        <v>3519700</v>
      </c>
    </row>
    <row r="102" spans="1:2" ht="15" thickBot="1" x14ac:dyDescent="0.4">
      <c r="A102" s="22" t="s">
        <v>122</v>
      </c>
      <c r="B102" s="18">
        <v>3592133</v>
      </c>
    </row>
    <row r="103" spans="1:2" x14ac:dyDescent="0.35">
      <c r="A103" s="22" t="s">
        <v>123</v>
      </c>
      <c r="B103" s="14">
        <v>4080000</v>
      </c>
    </row>
    <row r="104" spans="1:2" x14ac:dyDescent="0.35">
      <c r="A104" s="22" t="s">
        <v>124</v>
      </c>
      <c r="B104" s="21">
        <v>4598000</v>
      </c>
    </row>
    <row r="105" spans="1:2" x14ac:dyDescent="0.35">
      <c r="A105" s="22" t="s">
        <v>125</v>
      </c>
      <c r="B105" s="10">
        <v>4686600</v>
      </c>
    </row>
    <row r="106" spans="1:2" x14ac:dyDescent="0.35">
      <c r="A106" s="22" t="s">
        <v>126</v>
      </c>
      <c r="B106" s="10">
        <v>5137900</v>
      </c>
    </row>
    <row r="107" spans="1:2" x14ac:dyDescent="0.35">
      <c r="A107" s="22" t="s">
        <v>127</v>
      </c>
      <c r="B107" s="10">
        <v>5657600</v>
      </c>
    </row>
    <row r="108" spans="1:2" x14ac:dyDescent="0.35">
      <c r="A108" s="22" t="s">
        <v>128</v>
      </c>
      <c r="B108" s="13">
        <v>6350000</v>
      </c>
    </row>
    <row r="109" spans="1:2" x14ac:dyDescent="0.35">
      <c r="A109" s="22" t="s">
        <v>129</v>
      </c>
      <c r="B109" s="10">
        <v>8181700</v>
      </c>
    </row>
    <row r="110" spans="1:2" x14ac:dyDescent="0.35">
      <c r="A110" s="22" t="s">
        <v>130</v>
      </c>
      <c r="B110" s="10">
        <v>6805000</v>
      </c>
    </row>
    <row r="111" spans="1:2" x14ac:dyDescent="0.35">
      <c r="A111" s="22" t="s">
        <v>131</v>
      </c>
      <c r="B111" s="11">
        <v>6617300</v>
      </c>
    </row>
    <row r="112" spans="1:2" x14ac:dyDescent="0.35">
      <c r="A112" s="22" t="s">
        <v>132</v>
      </c>
      <c r="B112" s="10">
        <v>7437100</v>
      </c>
    </row>
    <row r="113" spans="1:2" x14ac:dyDescent="0.35">
      <c r="A113" s="22" t="s">
        <v>133</v>
      </c>
      <c r="B113" s="10">
        <v>7520000</v>
      </c>
    </row>
    <row r="114" spans="1:2" ht="15" thickBot="1" x14ac:dyDescent="0.4">
      <c r="A114" s="22" t="s">
        <v>134</v>
      </c>
      <c r="B114" s="18">
        <v>8651000</v>
      </c>
    </row>
    <row r="115" spans="1:2" x14ac:dyDescent="0.35">
      <c r="A115" s="22" t="s">
        <v>135</v>
      </c>
      <c r="B115" s="14">
        <v>10700000</v>
      </c>
    </row>
    <row r="116" spans="1:2" x14ac:dyDescent="0.35">
      <c r="A116" s="22" t="s">
        <v>136</v>
      </c>
      <c r="B116" s="21">
        <v>10500000</v>
      </c>
    </row>
    <row r="117" spans="1:2" x14ac:dyDescent="0.35">
      <c r="A117" s="22" t="s">
        <v>137</v>
      </c>
      <c r="B117" s="21">
        <v>12430000</v>
      </c>
    </row>
    <row r="118" spans="1:2" x14ac:dyDescent="0.35">
      <c r="A118" s="22" t="s">
        <v>138</v>
      </c>
      <c r="B118" s="10">
        <v>15260000</v>
      </c>
    </row>
    <row r="119" spans="1:2" x14ac:dyDescent="0.35">
      <c r="A119" s="22" t="s">
        <v>139</v>
      </c>
      <c r="B119" s="10">
        <v>19576000</v>
      </c>
    </row>
    <row r="120" spans="1:2" x14ac:dyDescent="0.35">
      <c r="A120" s="22" t="s">
        <v>140</v>
      </c>
      <c r="B120" s="13">
        <v>20124000</v>
      </c>
    </row>
    <row r="121" spans="1:2" x14ac:dyDescent="0.35">
      <c r="A121" s="22" t="s">
        <v>141</v>
      </c>
      <c r="B121" s="10">
        <v>17821000</v>
      </c>
    </row>
    <row r="122" spans="1:2" x14ac:dyDescent="0.35">
      <c r="A122" s="22" t="s">
        <v>142</v>
      </c>
      <c r="B122" s="10">
        <v>19200000</v>
      </c>
    </row>
    <row r="123" spans="1:2" x14ac:dyDescent="0.35">
      <c r="A123" s="22" t="s">
        <v>143</v>
      </c>
      <c r="B123" s="10">
        <v>17000000</v>
      </c>
    </row>
    <row r="124" spans="1:2" x14ac:dyDescent="0.35">
      <c r="A124" s="22" t="s">
        <v>144</v>
      </c>
      <c r="B124" s="10">
        <v>17700000</v>
      </c>
    </row>
    <row r="125" spans="1:2" x14ac:dyDescent="0.35">
      <c r="A125" s="22" t="s">
        <v>145</v>
      </c>
      <c r="B125" s="10">
        <v>18570000</v>
      </c>
    </row>
    <row r="126" spans="1:2" ht="15" thickBot="1" x14ac:dyDescent="0.4">
      <c r="A126" s="22" t="s">
        <v>146</v>
      </c>
      <c r="B126" s="18">
        <v>23000000</v>
      </c>
    </row>
    <row r="127" spans="1:2" x14ac:dyDescent="0.35">
      <c r="A127" s="22" t="s">
        <v>147</v>
      </c>
    </row>
    <row r="128" spans="1:2" x14ac:dyDescent="0.35">
      <c r="A128" s="22" t="s">
        <v>148</v>
      </c>
    </row>
    <row r="129" spans="1:1" x14ac:dyDescent="0.35">
      <c r="A129" s="22" t="s">
        <v>149</v>
      </c>
    </row>
    <row r="130" spans="1:1" x14ac:dyDescent="0.35">
      <c r="A130" s="22" t="s">
        <v>150</v>
      </c>
    </row>
    <row r="131" spans="1:1" x14ac:dyDescent="0.35">
      <c r="A131" s="22" t="s">
        <v>151</v>
      </c>
    </row>
    <row r="132" spans="1:1" x14ac:dyDescent="0.35">
      <c r="A132" s="22" t="s">
        <v>152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D165-5F03-4EF1-BE65-CE83882990D5}">
  <dimension ref="A1:E13"/>
  <sheetViews>
    <sheetView rightToLeft="1" workbookViewId="0">
      <selection activeCell="L8" sqref="L8"/>
    </sheetView>
  </sheetViews>
  <sheetFormatPr defaultRowHeight="14.5" x14ac:dyDescent="0.35"/>
  <cols>
    <col min="1" max="1" width="9.81640625" style="1" bestFit="1" customWidth="1"/>
    <col min="2" max="2" width="10.81640625" style="1" bestFit="1" customWidth="1"/>
    <col min="3" max="16384" width="8.7265625" style="1"/>
  </cols>
  <sheetData>
    <row r="1" spans="1:5" x14ac:dyDescent="0.35">
      <c r="A1" s="35" t="s">
        <v>153</v>
      </c>
      <c r="B1" s="35"/>
      <c r="C1" s="35"/>
      <c r="D1" s="35"/>
      <c r="E1" s="35"/>
    </row>
    <row r="2" spans="1:5" ht="15.5" x14ac:dyDescent="0.35">
      <c r="A2" s="25" t="s">
        <v>9</v>
      </c>
      <c r="B2" s="24">
        <v>1807298.7</v>
      </c>
    </row>
    <row r="3" spans="1:5" ht="15.5" x14ac:dyDescent="0.35">
      <c r="A3" s="25" t="s">
        <v>10</v>
      </c>
      <c r="B3" s="24">
        <v>1669075</v>
      </c>
    </row>
    <row r="4" spans="1:5" ht="15.5" x14ac:dyDescent="0.35">
      <c r="A4" s="25" t="s">
        <v>11</v>
      </c>
      <c r="B4" s="24">
        <v>1653389.7</v>
      </c>
    </row>
    <row r="5" spans="1:5" ht="15.5" x14ac:dyDescent="0.35">
      <c r="A5" s="25" t="s">
        <v>12</v>
      </c>
      <c r="B5" s="24">
        <v>1751326</v>
      </c>
    </row>
    <row r="6" spans="1:5" ht="15.5" x14ac:dyDescent="0.35">
      <c r="A6" s="25" t="s">
        <v>13</v>
      </c>
      <c r="B6" s="24">
        <v>1789370</v>
      </c>
    </row>
    <row r="7" spans="1:5" ht="15.5" x14ac:dyDescent="0.35">
      <c r="A7" s="25" t="s">
        <v>14</v>
      </c>
      <c r="B7" s="24">
        <v>1915413.3</v>
      </c>
    </row>
    <row r="8" spans="1:5" ht="15.5" x14ac:dyDescent="0.35">
      <c r="A8" s="25" t="s">
        <v>15</v>
      </c>
      <c r="B8" s="24">
        <v>2195750</v>
      </c>
    </row>
    <row r="9" spans="1:5" ht="15.5" x14ac:dyDescent="0.35">
      <c r="A9" s="25" t="s">
        <v>16</v>
      </c>
      <c r="B9" s="24">
        <v>2249340</v>
      </c>
    </row>
    <row r="10" spans="1:5" ht="15.5" x14ac:dyDescent="0.35">
      <c r="A10" s="25" t="s">
        <v>17</v>
      </c>
      <c r="B10" s="24">
        <v>2476810</v>
      </c>
    </row>
    <row r="11" spans="1:5" ht="15.5" x14ac:dyDescent="0.35">
      <c r="A11" s="25" t="s">
        <v>18</v>
      </c>
      <c r="B11" s="24">
        <v>2825890</v>
      </c>
    </row>
    <row r="12" spans="1:5" ht="15.5" x14ac:dyDescent="0.35">
      <c r="A12" s="25" t="s">
        <v>19</v>
      </c>
      <c r="B12" s="24">
        <v>3361960</v>
      </c>
    </row>
    <row r="13" spans="1:5" ht="15.5" x14ac:dyDescent="0.35">
      <c r="A13" s="25" t="s">
        <v>20</v>
      </c>
      <c r="B13" s="24">
        <v>3547100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جدول اصلی</vt:lpstr>
      <vt:lpstr>نسبت خقوق پایه به قیمت طلا</vt:lpstr>
      <vt:lpstr>Sheet1</vt:lpstr>
      <vt:lpstr>نمودار رشد</vt:lpstr>
      <vt:lpstr>میانگین طلا در ماه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 Pourmand</dc:creator>
  <cp:lastModifiedBy>Hamahang</cp:lastModifiedBy>
  <dcterms:created xsi:type="dcterms:W3CDTF">2015-06-05T18:17:20Z</dcterms:created>
  <dcterms:modified xsi:type="dcterms:W3CDTF">2026-09-15T13:00:54Z</dcterms:modified>
</cp:coreProperties>
</file>